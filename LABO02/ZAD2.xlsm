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dudek\Mój dysk\STUDIA\_SEM1\WSI\REPO\LABO02\"/>
    </mc:Choice>
  </mc:AlternateContent>
  <xr:revisionPtr revIDLastSave="0" documentId="13_ncr:1_{7C2BE142-58D8-4A42-9562-F43B340CAF2E}" xr6:coauthVersionLast="47" xr6:coauthVersionMax="47" xr10:uidLastSave="{00000000-0000-0000-0000-000000000000}"/>
  <bookViews>
    <workbookView xWindow="-4635" yWindow="-21720" windowWidth="38640" windowHeight="21120" xr2:uid="{546D8C58-AFD1-4DB4-800B-7774B831AA06}"/>
  </bookViews>
  <sheets>
    <sheet name="Zadania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7" i="2" l="1"/>
  <c r="C197" i="2" s="1"/>
  <c r="B198" i="2"/>
  <c r="C198" i="2" s="1"/>
  <c r="B199" i="2"/>
  <c r="C199" i="2" s="1"/>
  <c r="B200" i="2"/>
  <c r="C200" i="2" s="1"/>
  <c r="B201" i="2"/>
  <c r="C201" i="2" s="1"/>
  <c r="B202" i="2"/>
  <c r="C202" i="2" s="1"/>
  <c r="B203" i="2"/>
  <c r="C203" i="2" s="1"/>
  <c r="B204" i="2"/>
  <c r="C204" i="2" s="1"/>
  <c r="B205" i="2"/>
  <c r="C205" i="2" s="1"/>
  <c r="B196" i="2"/>
  <c r="C196" i="2" s="1"/>
  <c r="B182" i="2"/>
  <c r="C182" i="2" s="1"/>
  <c r="B178" i="2"/>
  <c r="C178" i="2" s="1"/>
  <c r="B179" i="2"/>
  <c r="C179" i="2" s="1"/>
  <c r="B180" i="2"/>
  <c r="C180" i="2" s="1"/>
  <c r="B181" i="2"/>
  <c r="C181" i="2" s="1"/>
  <c r="B183" i="2"/>
  <c r="C183" i="2" s="1"/>
  <c r="B184" i="2"/>
  <c r="C184" i="2" s="1"/>
  <c r="B185" i="2"/>
  <c r="C185" i="2" s="1"/>
  <c r="B186" i="2"/>
  <c r="C186" i="2" s="1"/>
  <c r="B177" i="2"/>
  <c r="C177" i="2" s="1"/>
  <c r="G160" i="2"/>
  <c r="G161" i="2"/>
  <c r="G162" i="2"/>
  <c r="G163" i="2"/>
  <c r="G164" i="2"/>
  <c r="G159" i="2"/>
  <c r="F160" i="2"/>
  <c r="F161" i="2"/>
  <c r="H161" i="2" s="1"/>
  <c r="F162" i="2"/>
  <c r="H162" i="2" s="1"/>
  <c r="F163" i="2"/>
  <c r="H163" i="2" s="1"/>
  <c r="F164" i="2"/>
  <c r="H164" i="2" s="1"/>
  <c r="F159" i="2"/>
  <c r="E160" i="2"/>
  <c r="H160" i="2" s="1"/>
  <c r="E161" i="2"/>
  <c r="E162" i="2"/>
  <c r="E163" i="2"/>
  <c r="E164" i="2"/>
  <c r="E159" i="2"/>
  <c r="H159" i="2" s="1"/>
  <c r="F136" i="2"/>
  <c r="F137" i="2"/>
  <c r="F138" i="2"/>
  <c r="F139" i="2"/>
  <c r="F140" i="2"/>
  <c r="F135" i="2"/>
  <c r="E136" i="2"/>
  <c r="G136" i="2" s="1"/>
  <c r="E137" i="2"/>
  <c r="G137" i="2" s="1"/>
  <c r="E138" i="2"/>
  <c r="G138" i="2" s="1"/>
  <c r="E139" i="2"/>
  <c r="G139" i="2" s="1"/>
  <c r="E140" i="2"/>
  <c r="G140" i="2" s="1"/>
  <c r="E135" i="2"/>
  <c r="G135" i="2" s="1"/>
  <c r="E119" i="2"/>
  <c r="E121" i="2"/>
  <c r="D117" i="2"/>
  <c r="D118" i="2"/>
  <c r="D119" i="2"/>
  <c r="F119" i="2" s="1"/>
  <c r="D120" i="2"/>
  <c r="D121" i="2"/>
  <c r="F121" i="2" s="1"/>
  <c r="D116" i="2"/>
  <c r="E116" i="2" s="1"/>
  <c r="E106" i="2"/>
  <c r="D103" i="2"/>
  <c r="E103" i="2" s="1"/>
  <c r="D104" i="2"/>
  <c r="E104" i="2" s="1"/>
  <c r="D105" i="2"/>
  <c r="E105" i="2" s="1"/>
  <c r="D106" i="2"/>
  <c r="D102" i="2"/>
  <c r="E102" i="2" s="1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74" i="2"/>
  <c r="B58" i="2"/>
  <c r="B59" i="2"/>
  <c r="B60" i="2"/>
  <c r="B61" i="2"/>
  <c r="B62" i="2"/>
  <c r="B63" i="2"/>
  <c r="B64" i="2"/>
  <c r="B65" i="2"/>
  <c r="B57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34" i="2"/>
  <c r="D7" i="2"/>
  <c r="D21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I159" i="2" l="1"/>
  <c r="J159" i="2" s="1"/>
  <c r="I160" i="2"/>
  <c r="J160" i="2" s="1"/>
  <c r="I164" i="2"/>
  <c r="J164" i="2" s="1"/>
  <c r="I163" i="2"/>
  <c r="J163" i="2" s="1"/>
  <c r="F117" i="2"/>
  <c r="I161" i="2"/>
  <c r="J161" i="2" s="1"/>
  <c r="F118" i="2"/>
  <c r="I162" i="2"/>
  <c r="J162" i="2" s="1"/>
  <c r="E120" i="2"/>
  <c r="F120" i="2" s="1"/>
  <c r="E118" i="2"/>
  <c r="E117" i="2"/>
  <c r="F116" i="2"/>
</calcChain>
</file>

<file path=xl/sharedStrings.xml><?xml version="1.0" encoding="utf-8"?>
<sst xmlns="http://schemas.openxmlformats.org/spreadsheetml/2006/main" count="166" uniqueCount="133">
  <si>
    <t>Uczeń</t>
  </si>
  <si>
    <t>Egzamin 1</t>
  </si>
  <si>
    <t>Egzamin 2</t>
  </si>
  <si>
    <t>Suma</t>
  </si>
  <si>
    <t>Uczeń 1</t>
  </si>
  <si>
    <t>Uczeń 2</t>
  </si>
  <si>
    <t>Uczeń 3</t>
  </si>
  <si>
    <t>Uczeń 4</t>
  </si>
  <si>
    <t>Uczeń 5</t>
  </si>
  <si>
    <t>Uczeń 6</t>
  </si>
  <si>
    <t>Uczeń 7</t>
  </si>
  <si>
    <t>Uczeń 8</t>
  </si>
  <si>
    <t>Uczeń 9</t>
  </si>
  <si>
    <t>Uczeń 10</t>
  </si>
  <si>
    <t>Uczeń 11</t>
  </si>
  <si>
    <t>Uczeń 12</t>
  </si>
  <si>
    <t>Uczeń 13</t>
  </si>
  <si>
    <t>Uczeń 14</t>
  </si>
  <si>
    <t>Uczeń 15</t>
  </si>
  <si>
    <t>Zadanie 1</t>
  </si>
  <si>
    <t>Zadanie 2</t>
  </si>
  <si>
    <t>Imię</t>
  </si>
  <si>
    <t>Nazwisko</t>
  </si>
  <si>
    <t>Wypracowany zysk ze sprzedaży</t>
  </si>
  <si>
    <t>Premia</t>
  </si>
  <si>
    <t>Zofia</t>
  </si>
  <si>
    <t>Iwańska</t>
  </si>
  <si>
    <t>Anna</t>
  </si>
  <si>
    <t>Krzyżewski</t>
  </si>
  <si>
    <t>Bogdan</t>
  </si>
  <si>
    <t>Lenckowski</t>
  </si>
  <si>
    <t>Jan</t>
  </si>
  <si>
    <t>Kowalski</t>
  </si>
  <si>
    <t>Katarzyna</t>
  </si>
  <si>
    <t>Nowak</t>
  </si>
  <si>
    <t>Wojciech</t>
  </si>
  <si>
    <t>Malinowski</t>
  </si>
  <si>
    <t>Andrzej</t>
  </si>
  <si>
    <t>Krzak</t>
  </si>
  <si>
    <t>Barbara</t>
  </si>
  <si>
    <t>Anielewska</t>
  </si>
  <si>
    <t>Iwona</t>
  </si>
  <si>
    <t>Durczyńska</t>
  </si>
  <si>
    <t>Lucjan</t>
  </si>
  <si>
    <t>Boski</t>
  </si>
  <si>
    <t>Maciej</t>
  </si>
  <si>
    <t>Laudański</t>
  </si>
  <si>
    <t>Zenon</t>
  </si>
  <si>
    <t>Podkowiński</t>
  </si>
  <si>
    <t>Marian</t>
  </si>
  <si>
    <t>Olszewski</t>
  </si>
  <si>
    <t>Tadeusz</t>
  </si>
  <si>
    <t>Lipiński</t>
  </si>
  <si>
    <t>Sabina</t>
  </si>
  <si>
    <t>Kolczyńska</t>
  </si>
  <si>
    <t>Zadanie 3</t>
  </si>
  <si>
    <t>Liczba</t>
  </si>
  <si>
    <t>Wartość</t>
  </si>
  <si>
    <t>Zadanie 4</t>
  </si>
  <si>
    <t>Ocena</t>
  </si>
  <si>
    <t>Słownie</t>
  </si>
  <si>
    <t>Zadanie 5</t>
  </si>
  <si>
    <t>Dochód</t>
  </si>
  <si>
    <t>Stypendium socjalne</t>
  </si>
  <si>
    <t>do</t>
  </si>
  <si>
    <t>tak</t>
  </si>
  <si>
    <t>powyżej</t>
  </si>
  <si>
    <t>nie</t>
  </si>
  <si>
    <t>Student</t>
  </si>
  <si>
    <t>Dochód rodziny</t>
  </si>
  <si>
    <t>Ilość członków rodziny</t>
  </si>
  <si>
    <t>Dochód na jednego członka rodziny</t>
  </si>
  <si>
    <t>Paweł Kaczamrek</t>
  </si>
  <si>
    <t>Jacek Kaczyński</t>
  </si>
  <si>
    <t>Jakub Zawadzki</t>
  </si>
  <si>
    <t>Anna Piaskowska</t>
  </si>
  <si>
    <t>Katarzyna Stolorczyk</t>
  </si>
  <si>
    <t>Zadanie 6</t>
  </si>
  <si>
    <t>Klient</t>
  </si>
  <si>
    <t>Ilość książek</t>
  </si>
  <si>
    <t>Cena jednej książki</t>
  </si>
  <si>
    <t>Wartość zakupu</t>
  </si>
  <si>
    <t>Rabat w wysokości</t>
  </si>
  <si>
    <t>Wartość zakupu z rabatem</t>
  </si>
  <si>
    <t xml:space="preserve">Rościszowski </t>
  </si>
  <si>
    <t>Malinowska</t>
  </si>
  <si>
    <t>Habała</t>
  </si>
  <si>
    <t>Kowal</t>
  </si>
  <si>
    <t>Mikowalik</t>
  </si>
  <si>
    <t>Gardowska</t>
  </si>
  <si>
    <t>Zadanie 7</t>
  </si>
  <si>
    <t>Staż (w latach)</t>
  </si>
  <si>
    <t>Dodatek stażowy</t>
  </si>
  <si>
    <t>Wykształcenie</t>
  </si>
  <si>
    <t>Dodatek za wykształcenie</t>
  </si>
  <si>
    <t xml:space="preserve">do </t>
  </si>
  <si>
    <t>średnie</t>
  </si>
  <si>
    <t>wyższe</t>
  </si>
  <si>
    <t>Płaca zasadnicza</t>
  </si>
  <si>
    <t>Staż pracy</t>
  </si>
  <si>
    <t>Dodatek stażowy (%)</t>
  </si>
  <si>
    <t>Płaca brutto</t>
  </si>
  <si>
    <t>Michalak</t>
  </si>
  <si>
    <t>Kurzewska</t>
  </si>
  <si>
    <t>Wróbel</t>
  </si>
  <si>
    <t>Jabłońska</t>
  </si>
  <si>
    <t>Baraniak</t>
  </si>
  <si>
    <t>Kaczmarek</t>
  </si>
  <si>
    <t>Zadanie 8</t>
  </si>
  <si>
    <t>Pracownik</t>
  </si>
  <si>
    <t>Roczna płaca zasadnicza pracownika</t>
  </si>
  <si>
    <t>Dział w firmie</t>
  </si>
  <si>
    <t>Staż pracy w latach</t>
  </si>
  <si>
    <t>Dodatek motywacyjny</t>
  </si>
  <si>
    <t>Dodatek funkcyjny</t>
  </si>
  <si>
    <t>Podatek</t>
  </si>
  <si>
    <t>Składka ubezpieczeniowa</t>
  </si>
  <si>
    <t>Do wypłaty</t>
  </si>
  <si>
    <t>[1]</t>
  </si>
  <si>
    <t>[2]</t>
  </si>
  <si>
    <t xml:space="preserve">[3] </t>
  </si>
  <si>
    <t xml:space="preserve">[4] </t>
  </si>
  <si>
    <t xml:space="preserve">[5] </t>
  </si>
  <si>
    <t>[6]</t>
  </si>
  <si>
    <t>marketing</t>
  </si>
  <si>
    <t>logistyka</t>
  </si>
  <si>
    <t>sprzedaż</t>
  </si>
  <si>
    <t>Zadanie 9</t>
  </si>
  <si>
    <t>Zadanie 10</t>
  </si>
  <si>
    <t>Decyzja o stypendium</t>
  </si>
  <si>
    <t>Osoba</t>
  </si>
  <si>
    <t>Ilość ciastek</t>
  </si>
  <si>
    <t>Zarobek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</si>
</sst>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zł&quot;;[Red]\-#,##0\ &quot;zł&quot;"/>
    <numFmt numFmtId="44" formatCode="_-* #,##0.00\ &quot;zł&quot;_-;\-* #,##0.00\ &quot;zł&quot;_-;_-* &quot;-&quot;??\ &quot;zł&quot;_-;_-@_-"/>
    <numFmt numFmtId="164" formatCode="#,##0.00\ &quot;zł&quot;"/>
    <numFmt numFmtId="165" formatCode="#,##0.0\ &quot;zł&quot;;[Red]\-#,##0.0\ &quot;zł&quot;"/>
  </numFmts>
  <fonts count="5">
    <font>
      <sz val="11"/>
      <color theme="1"/>
      <name val="Calibri"/>
      <family val="2"/>
      <charset val="238"/>
      <scheme val="minor"/>
    </font>
    <font>
      <sz val="11"/>
      <color theme="1"/>
      <name val="Czcionka tekstu podstawowego"/>
      <family val="2"/>
      <charset val="238"/>
    </font>
    <font>
      <sz val="10"/>
      <name val="Times New Roman"/>
      <family val="1"/>
      <charset val="238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44" fontId="3" fillId="0" borderId="0" applyFont="0" applyFill="0" applyBorder="0" applyAlignment="0" applyProtection="0"/>
  </cellStyleXfs>
  <cellXfs count="68">
    <xf numFmtId="0" fontId="0" fillId="0" borderId="0" xfId="0"/>
    <xf numFmtId="0" fontId="1" fillId="2" borderId="1" xfId="1" applyFill="1" applyBorder="1" applyAlignment="1">
      <alignment horizontal="center" vertical="center"/>
    </xf>
    <xf numFmtId="0" fontId="1" fillId="0" borderId="0" xfId="1"/>
    <xf numFmtId="0" fontId="1" fillId="0" borderId="1" xfId="1" applyBorder="1"/>
    <xf numFmtId="0" fontId="0" fillId="3" borderId="0" xfId="0" applyFill="1"/>
    <xf numFmtId="0" fontId="0" fillId="4" borderId="0" xfId="0" applyFill="1"/>
    <xf numFmtId="0" fontId="1" fillId="2" borderId="1" xfId="1" applyFill="1" applyBorder="1" applyAlignment="1">
      <alignment horizontal="center" vertical="center" wrapText="1"/>
    </xf>
    <xf numFmtId="164" fontId="1" fillId="0" borderId="1" xfId="1" applyNumberFormat="1" applyBorder="1"/>
    <xf numFmtId="0" fontId="1" fillId="5" borderId="1" xfId="1" applyFill="1" applyBorder="1"/>
    <xf numFmtId="0" fontId="0" fillId="6" borderId="0" xfId="0" applyFill="1"/>
    <xf numFmtId="0" fontId="0" fillId="7" borderId="0" xfId="0" applyFill="1"/>
    <xf numFmtId="0" fontId="1" fillId="0" borderId="1" xfId="1" applyBorder="1" applyAlignment="1">
      <alignment horizontal="center"/>
    </xf>
    <xf numFmtId="0" fontId="0" fillId="8" borderId="0" xfId="0" applyFill="1"/>
    <xf numFmtId="0" fontId="2" fillId="0" borderId="0" xfId="0" applyFont="1" applyAlignment="1">
      <alignment vertical="top" wrapText="1"/>
    </xf>
    <xf numFmtId="0" fontId="2" fillId="0" borderId="4" xfId="0" applyFont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6" xfId="0" applyFont="1" applyBorder="1" applyAlignment="1">
      <alignment horizontal="center" vertical="top" wrapText="1"/>
    </xf>
    <xf numFmtId="0" fontId="2" fillId="9" borderId="4" xfId="0" applyFont="1" applyFill="1" applyBorder="1" applyAlignment="1">
      <alignment horizontal="center" vertical="center" wrapText="1"/>
    </xf>
    <xf numFmtId="0" fontId="2" fillId="9" borderId="5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vertical="top" wrapText="1"/>
    </xf>
    <xf numFmtId="0" fontId="2" fillId="0" borderId="5" xfId="0" applyFont="1" applyBorder="1" applyAlignment="1">
      <alignment vertical="top" wrapText="1"/>
    </xf>
    <xf numFmtId="0" fontId="2" fillId="10" borderId="4" xfId="0" applyFont="1" applyFill="1" applyBorder="1" applyAlignment="1">
      <alignment vertical="top" wrapText="1"/>
    </xf>
    <xf numFmtId="0" fontId="2" fillId="10" borderId="5" xfId="0" applyFont="1" applyFill="1" applyBorder="1" applyAlignment="1">
      <alignment horizontal="center" vertical="top" wrapText="1"/>
    </xf>
    <xf numFmtId="0" fontId="0" fillId="11" borderId="0" xfId="0" applyFill="1"/>
    <xf numFmtId="0" fontId="2" fillId="9" borderId="7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right" vertical="top" wrapText="1"/>
    </xf>
    <xf numFmtId="6" fontId="2" fillId="0" borderId="5" xfId="0" applyNumberFormat="1" applyFont="1" applyBorder="1" applyAlignment="1">
      <alignment horizontal="right" vertical="top" wrapText="1"/>
    </xf>
    <xf numFmtId="0" fontId="2" fillId="12" borderId="0" xfId="0" applyFont="1" applyFill="1" applyAlignment="1">
      <alignment vertical="top" wrapText="1"/>
    </xf>
    <xf numFmtId="0" fontId="0" fillId="12" borderId="0" xfId="0" applyFill="1"/>
    <xf numFmtId="0" fontId="2" fillId="0" borderId="8" xfId="0" applyFont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9" fontId="2" fillId="0" borderId="5" xfId="0" applyNumberFormat="1" applyFont="1" applyBorder="1" applyAlignment="1">
      <alignment horizontal="center" vertical="top" wrapText="1"/>
    </xf>
    <xf numFmtId="0" fontId="2" fillId="0" borderId="8" xfId="0" applyFont="1" applyBorder="1" applyAlignment="1">
      <alignment vertical="top" wrapText="1"/>
    </xf>
    <xf numFmtId="0" fontId="2" fillId="10" borderId="5" xfId="0" applyFont="1" applyFill="1" applyBorder="1" applyAlignment="1">
      <alignment vertical="top" wrapText="1"/>
    </xf>
    <xf numFmtId="0" fontId="2" fillId="0" borderId="6" xfId="0" applyFont="1" applyBorder="1" applyAlignment="1">
      <alignment vertical="top" wrapText="1"/>
    </xf>
    <xf numFmtId="0" fontId="2" fillId="9" borderId="1" xfId="0" applyFont="1" applyFill="1" applyBorder="1" applyAlignment="1">
      <alignment horizontal="center" vertical="top" wrapText="1"/>
    </xf>
    <xf numFmtId="0" fontId="2" fillId="10" borderId="11" xfId="0" applyFont="1" applyFill="1" applyBorder="1" applyAlignment="1">
      <alignment horizontal="center" vertical="top" wrapText="1"/>
    </xf>
    <xf numFmtId="6" fontId="2" fillId="10" borderId="11" xfId="0" applyNumberFormat="1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6" fontId="2" fillId="0" borderId="1" xfId="0" applyNumberFormat="1" applyFont="1" applyBorder="1" applyAlignment="1">
      <alignment horizontal="center" vertical="top" wrapText="1"/>
    </xf>
    <xf numFmtId="0" fontId="2" fillId="10" borderId="1" xfId="0" applyFont="1" applyFill="1" applyBorder="1" applyAlignment="1">
      <alignment horizontal="center" vertical="top" wrapText="1"/>
    </xf>
    <xf numFmtId="6" fontId="2" fillId="10" borderId="1" xfId="0" applyNumberFormat="1" applyFont="1" applyFill="1" applyBorder="1" applyAlignment="1">
      <alignment horizontal="center" vertical="top" wrapText="1"/>
    </xf>
    <xf numFmtId="0" fontId="2" fillId="13" borderId="0" xfId="0" applyFont="1" applyFill="1" applyAlignment="1">
      <alignment vertical="top" wrapText="1"/>
    </xf>
    <xf numFmtId="0" fontId="0" fillId="13" borderId="0" xfId="0" applyFill="1"/>
    <xf numFmtId="0" fontId="2" fillId="9" borderId="3" xfId="0" applyFont="1" applyFill="1" applyBorder="1" applyAlignment="1">
      <alignment horizontal="center" vertical="center" wrapText="1"/>
    </xf>
    <xf numFmtId="0" fontId="0" fillId="14" borderId="0" xfId="0" applyFill="1"/>
    <xf numFmtId="0" fontId="0" fillId="15" borderId="0" xfId="0" applyFill="1"/>
    <xf numFmtId="0" fontId="2" fillId="9" borderId="6" xfId="0" applyFont="1" applyFill="1" applyBorder="1" applyAlignment="1">
      <alignment horizontal="center" vertical="center" wrapText="1"/>
    </xf>
    <xf numFmtId="2" fontId="2" fillId="0" borderId="5" xfId="0" applyNumberFormat="1" applyFont="1" applyBorder="1" applyAlignment="1">
      <alignment vertical="top" wrapText="1"/>
    </xf>
    <xf numFmtId="2" fontId="2" fillId="10" borderId="5" xfId="0" applyNumberFormat="1" applyFont="1" applyFill="1" applyBorder="1" applyAlignment="1">
      <alignment vertical="top" wrapText="1"/>
    </xf>
    <xf numFmtId="2" fontId="2" fillId="10" borderId="5" xfId="0" applyNumberFormat="1" applyFont="1" applyFill="1" applyBorder="1" applyAlignment="1">
      <alignment horizontal="center" vertical="top" wrapText="1"/>
    </xf>
    <xf numFmtId="165" fontId="2" fillId="0" borderId="5" xfId="0" applyNumberFormat="1" applyFont="1" applyBorder="1" applyAlignment="1">
      <alignment vertical="top" wrapText="1"/>
    </xf>
    <xf numFmtId="9" fontId="2" fillId="0" borderId="5" xfId="0" applyNumberFormat="1" applyFont="1" applyBorder="1" applyAlignment="1">
      <alignment vertical="top" wrapText="1"/>
    </xf>
    <xf numFmtId="164" fontId="2" fillId="0" borderId="5" xfId="2" applyNumberFormat="1" applyFont="1" applyBorder="1" applyAlignment="1">
      <alignment vertical="top" wrapText="1"/>
    </xf>
    <xf numFmtId="164" fontId="2" fillId="10" borderId="12" xfId="0" applyNumberFormat="1" applyFont="1" applyFill="1" applyBorder="1" applyAlignment="1">
      <alignment vertical="top" wrapText="1"/>
    </xf>
    <xf numFmtId="164" fontId="2" fillId="16" borderId="1" xfId="0" applyNumberFormat="1" applyFont="1" applyFill="1" applyBorder="1" applyAlignment="1">
      <alignment vertical="top" wrapText="1"/>
    </xf>
    <xf numFmtId="164" fontId="2" fillId="10" borderId="1" xfId="0" applyNumberFormat="1" applyFont="1" applyFill="1" applyBorder="1" applyAlignment="1">
      <alignment vertical="top" wrapText="1"/>
    </xf>
    <xf numFmtId="0" fontId="0" fillId="0" borderId="1" xfId="0" applyBorder="1"/>
    <xf numFmtId="0" fontId="0" fillId="0" borderId="13" xfId="0" applyBorder="1"/>
    <xf numFmtId="164" fontId="0" fillId="0" borderId="13" xfId="0" applyNumberFormat="1" applyBorder="1"/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 wrapText="1"/>
    </xf>
    <xf numFmtId="0" fontId="2" fillId="9" borderId="10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2" fillId="9" borderId="3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</cellXfs>
  <cellStyles count="3">
    <cellStyle name="Normalny" xfId="0" builtinId="0"/>
    <cellStyle name="Normalny 2" xfId="1" xr:uid="{AA40E8D5-2281-401C-8519-0475C0DC82EF}"/>
    <cellStyle name="Walutowy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18B9-1296-4739-ACA9-D91F2421898F}">
  <sheetPr codeName="Arkusz2"/>
  <dimension ref="A1:J205"/>
  <sheetViews>
    <sheetView tabSelected="1" workbookViewId="0">
      <selection sqref="A1:XFD2"/>
    </sheetView>
  </sheetViews>
  <sheetFormatPr defaultRowHeight="15"/>
  <cols>
    <col min="1" max="1" width="10.42578125" bestFit="1" customWidth="1"/>
    <col min="2" max="2" width="12.5703125" bestFit="1" customWidth="1"/>
    <col min="3" max="3" width="13.7109375" bestFit="1" customWidth="1"/>
    <col min="4" max="4" width="10" customWidth="1"/>
    <col min="5" max="7" width="11" bestFit="1" customWidth="1"/>
    <col min="8" max="8" width="12" bestFit="1" customWidth="1"/>
    <col min="9" max="9" width="10" bestFit="1" customWidth="1"/>
    <col min="10" max="10" width="12" bestFit="1" customWidth="1"/>
  </cols>
  <sheetData>
    <row r="1" spans="1:4">
      <c r="A1" s="5" t="s">
        <v>19</v>
      </c>
      <c r="B1" s="5"/>
      <c r="C1" s="5"/>
      <c r="D1" s="5"/>
    </row>
    <row r="2" spans="1:4">
      <c r="A2" s="5"/>
      <c r="B2" s="5"/>
      <c r="C2" s="5"/>
      <c r="D2" s="5"/>
    </row>
    <row r="3" spans="1:4">
      <c r="A3" s="5"/>
      <c r="B3" s="5"/>
      <c r="C3" s="5"/>
      <c r="D3" s="5"/>
    </row>
    <row r="4" spans="1:4">
      <c r="A4" s="5"/>
      <c r="B4" s="5"/>
      <c r="C4" s="5"/>
      <c r="D4" s="5"/>
    </row>
    <row r="6" spans="1:4">
      <c r="A6" s="1" t="s">
        <v>0</v>
      </c>
      <c r="B6" s="1" t="s">
        <v>1</v>
      </c>
      <c r="C6" s="1" t="s">
        <v>2</v>
      </c>
      <c r="D6" s="1" t="s">
        <v>3</v>
      </c>
    </row>
    <row r="7" spans="1:4">
      <c r="A7" s="3" t="s">
        <v>4</v>
      </c>
      <c r="B7" s="3">
        <v>44</v>
      </c>
      <c r="C7" s="3">
        <v>48</v>
      </c>
      <c r="D7" s="3" t="str">
        <f>IF(B7+C7&gt;80,"ZDAŁ","NIE ZDAŁ")</f>
        <v>ZDAŁ</v>
      </c>
    </row>
    <row r="8" spans="1:4">
      <c r="A8" s="3" t="s">
        <v>5</v>
      </c>
      <c r="B8" s="3">
        <v>26</v>
      </c>
      <c r="C8" s="3">
        <v>20</v>
      </c>
      <c r="D8" s="3" t="str">
        <f t="shared" ref="D8:D20" si="0">IF(B8+C8&gt;80,"ZDAŁ","NIE ZDAŁ")</f>
        <v>NIE ZDAŁ</v>
      </c>
    </row>
    <row r="9" spans="1:4">
      <c r="A9" s="3" t="s">
        <v>6</v>
      </c>
      <c r="B9" s="3">
        <v>49</v>
      </c>
      <c r="C9" s="3">
        <v>37</v>
      </c>
      <c r="D9" s="3" t="str">
        <f t="shared" si="0"/>
        <v>ZDAŁ</v>
      </c>
    </row>
    <row r="10" spans="1:4">
      <c r="A10" s="3" t="s">
        <v>7</v>
      </c>
      <c r="B10" s="3">
        <v>30</v>
      </c>
      <c r="C10" s="3">
        <v>33</v>
      </c>
      <c r="D10" s="3" t="str">
        <f t="shared" si="0"/>
        <v>NIE ZDAŁ</v>
      </c>
    </row>
    <row r="11" spans="1:4">
      <c r="A11" s="3" t="s">
        <v>8</v>
      </c>
      <c r="B11" s="3">
        <v>43</v>
      </c>
      <c r="C11" s="3">
        <v>46</v>
      </c>
      <c r="D11" s="3" t="str">
        <f t="shared" si="0"/>
        <v>ZDAŁ</v>
      </c>
    </row>
    <row r="12" spans="1:4">
      <c r="A12" s="3" t="s">
        <v>9</v>
      </c>
      <c r="B12" s="3">
        <v>39</v>
      </c>
      <c r="C12" s="3">
        <v>50</v>
      </c>
      <c r="D12" s="3" t="str">
        <f t="shared" si="0"/>
        <v>ZDAŁ</v>
      </c>
    </row>
    <row r="13" spans="1:4">
      <c r="A13" s="3" t="s">
        <v>10</v>
      </c>
      <c r="B13" s="3">
        <v>40</v>
      </c>
      <c r="C13" s="3">
        <v>42</v>
      </c>
      <c r="D13" s="3" t="str">
        <f t="shared" si="0"/>
        <v>ZDAŁ</v>
      </c>
    </row>
    <row r="14" spans="1:4">
      <c r="A14" s="3" t="s">
        <v>11</v>
      </c>
      <c r="B14" s="3">
        <v>26</v>
      </c>
      <c r="C14" s="3">
        <v>40</v>
      </c>
      <c r="D14" s="3" t="str">
        <f t="shared" si="0"/>
        <v>NIE ZDAŁ</v>
      </c>
    </row>
    <row r="15" spans="1:4">
      <c r="A15" s="3" t="s">
        <v>12</v>
      </c>
      <c r="B15" s="3">
        <v>49</v>
      </c>
      <c r="C15" s="3">
        <v>26</v>
      </c>
      <c r="D15" s="3" t="str">
        <f t="shared" si="0"/>
        <v>NIE ZDAŁ</v>
      </c>
    </row>
    <row r="16" spans="1:4">
      <c r="A16" s="3" t="s">
        <v>13</v>
      </c>
      <c r="B16" s="3">
        <v>30</v>
      </c>
      <c r="C16" s="3">
        <v>49</v>
      </c>
      <c r="D16" s="3" t="str">
        <f t="shared" si="0"/>
        <v>NIE ZDAŁ</v>
      </c>
    </row>
    <row r="17" spans="1:4">
      <c r="A17" s="3" t="s">
        <v>14</v>
      </c>
      <c r="B17" s="3">
        <v>43</v>
      </c>
      <c r="C17" s="3">
        <v>30</v>
      </c>
      <c r="D17" s="3" t="str">
        <f t="shared" si="0"/>
        <v>NIE ZDAŁ</v>
      </c>
    </row>
    <row r="18" spans="1:4">
      <c r="A18" s="3" t="s">
        <v>15</v>
      </c>
      <c r="B18" s="3">
        <v>33</v>
      </c>
      <c r="C18" s="3">
        <v>26</v>
      </c>
      <c r="D18" s="3" t="str">
        <f t="shared" si="0"/>
        <v>NIE ZDAŁ</v>
      </c>
    </row>
    <row r="19" spans="1:4">
      <c r="A19" s="3" t="s">
        <v>16</v>
      </c>
      <c r="B19" s="3">
        <v>45</v>
      </c>
      <c r="C19" s="3">
        <v>49</v>
      </c>
      <c r="D19" s="3" t="str">
        <f t="shared" si="0"/>
        <v>ZDAŁ</v>
      </c>
    </row>
    <row r="20" spans="1:4">
      <c r="A20" s="3" t="s">
        <v>17</v>
      </c>
      <c r="B20" s="3">
        <v>49</v>
      </c>
      <c r="C20" s="3">
        <v>43</v>
      </c>
      <c r="D20" s="3" t="str">
        <f t="shared" si="0"/>
        <v>ZDAŁ</v>
      </c>
    </row>
    <row r="21" spans="1:4">
      <c r="A21" s="3" t="s">
        <v>18</v>
      </c>
      <c r="B21" s="3">
        <v>27</v>
      </c>
      <c r="C21" s="3">
        <v>20</v>
      </c>
      <c r="D21" s="3" t="str">
        <f>IF(B21+C21&gt;80,"ZDAŁ","NIE ZDAŁ")</f>
        <v>NIE ZDAŁ</v>
      </c>
    </row>
    <row r="22" spans="1:4">
      <c r="A22" s="2"/>
      <c r="B22" s="2"/>
      <c r="C22" s="2"/>
      <c r="D22" s="2"/>
    </row>
    <row r="23" spans="1:4">
      <c r="A23" s="2"/>
      <c r="B23" s="2"/>
      <c r="C23" s="2"/>
      <c r="D23" s="2"/>
    </row>
    <row r="24" spans="1:4">
      <c r="A24" s="2"/>
      <c r="B24" s="2"/>
      <c r="C24" s="2"/>
      <c r="D24" s="2"/>
    </row>
    <row r="27" spans="1:4">
      <c r="A27" s="4" t="s">
        <v>20</v>
      </c>
      <c r="B27" s="4"/>
      <c r="C27" s="4"/>
      <c r="D27" s="4"/>
    </row>
    <row r="28" spans="1:4">
      <c r="A28" s="4"/>
      <c r="B28" s="4"/>
      <c r="C28" s="4"/>
      <c r="D28" s="4"/>
    </row>
    <row r="29" spans="1:4">
      <c r="A29" s="4"/>
      <c r="B29" s="4"/>
      <c r="C29" s="4"/>
      <c r="D29" s="4"/>
    </row>
    <row r="30" spans="1:4">
      <c r="A30" s="4"/>
      <c r="B30" s="4"/>
      <c r="C30" s="4"/>
      <c r="D30" s="4"/>
    </row>
    <row r="31" spans="1:4">
      <c r="A31" s="4"/>
      <c r="B31" s="4"/>
      <c r="C31" s="4"/>
      <c r="D31" s="4"/>
    </row>
    <row r="33" spans="1:5" ht="42.75">
      <c r="A33" s="1" t="s">
        <v>21</v>
      </c>
      <c r="B33" s="1" t="s">
        <v>22</v>
      </c>
      <c r="C33" s="6" t="s">
        <v>23</v>
      </c>
      <c r="D33" s="1" t="s">
        <v>24</v>
      </c>
      <c r="E33" s="2"/>
    </row>
    <row r="34" spans="1:5">
      <c r="A34" s="3" t="s">
        <v>25</v>
      </c>
      <c r="B34" s="3" t="s">
        <v>26</v>
      </c>
      <c r="C34" s="7">
        <v>8342</v>
      </c>
      <c r="D34" s="8" t="str">
        <f>IF(C34&gt;8000,"TAK","NIE")</f>
        <v>TAK</v>
      </c>
      <c r="E34" s="2"/>
    </row>
    <row r="35" spans="1:5">
      <c r="A35" s="3" t="s">
        <v>27</v>
      </c>
      <c r="B35" s="3" t="s">
        <v>28</v>
      </c>
      <c r="C35" s="7">
        <v>4326</v>
      </c>
      <c r="D35" s="8" t="str">
        <f t="shared" ref="D35:D48" si="1">IF(C35&gt;8000,"TAK","NIE")</f>
        <v>NIE</v>
      </c>
      <c r="E35" s="2"/>
    </row>
    <row r="36" spans="1:5">
      <c r="A36" s="3" t="s">
        <v>29</v>
      </c>
      <c r="B36" s="3" t="s">
        <v>30</v>
      </c>
      <c r="C36" s="7">
        <v>7865</v>
      </c>
      <c r="D36" s="8" t="str">
        <f t="shared" si="1"/>
        <v>NIE</v>
      </c>
      <c r="E36" s="2"/>
    </row>
    <row r="37" spans="1:5">
      <c r="A37" s="3" t="s">
        <v>31</v>
      </c>
      <c r="B37" s="3" t="s">
        <v>32</v>
      </c>
      <c r="C37" s="7">
        <v>10234</v>
      </c>
      <c r="D37" s="8" t="str">
        <f t="shared" si="1"/>
        <v>TAK</v>
      </c>
      <c r="E37" s="2"/>
    </row>
    <row r="38" spans="1:5">
      <c r="A38" s="3" t="s">
        <v>33</v>
      </c>
      <c r="B38" s="3" t="s">
        <v>34</v>
      </c>
      <c r="C38" s="7">
        <v>4326</v>
      </c>
      <c r="D38" s="8" t="str">
        <f t="shared" si="1"/>
        <v>NIE</v>
      </c>
      <c r="E38" s="2"/>
    </row>
    <row r="39" spans="1:5">
      <c r="A39" s="3" t="s">
        <v>35</v>
      </c>
      <c r="B39" s="3" t="s">
        <v>36</v>
      </c>
      <c r="C39" s="7">
        <v>8790</v>
      </c>
      <c r="D39" s="8" t="str">
        <f t="shared" si="1"/>
        <v>TAK</v>
      </c>
      <c r="E39" s="2"/>
    </row>
    <row r="40" spans="1:5">
      <c r="A40" s="3" t="s">
        <v>37</v>
      </c>
      <c r="B40" s="3" t="s">
        <v>38</v>
      </c>
      <c r="C40" s="7">
        <v>6660</v>
      </c>
      <c r="D40" s="8" t="str">
        <f t="shared" si="1"/>
        <v>NIE</v>
      </c>
      <c r="E40" s="2"/>
    </row>
    <row r="41" spans="1:5">
      <c r="A41" s="3" t="s">
        <v>39</v>
      </c>
      <c r="B41" s="3" t="s">
        <v>40</v>
      </c>
      <c r="C41" s="7">
        <v>4590</v>
      </c>
      <c r="D41" s="8" t="str">
        <f t="shared" si="1"/>
        <v>NIE</v>
      </c>
      <c r="E41" s="2"/>
    </row>
    <row r="42" spans="1:5">
      <c r="A42" s="3" t="s">
        <v>41</v>
      </c>
      <c r="B42" s="3" t="s">
        <v>42</v>
      </c>
      <c r="C42" s="7">
        <v>30000</v>
      </c>
      <c r="D42" s="8" t="str">
        <f t="shared" si="1"/>
        <v>TAK</v>
      </c>
      <c r="E42" s="2"/>
    </row>
    <row r="43" spans="1:5">
      <c r="A43" s="3" t="s">
        <v>43</v>
      </c>
      <c r="B43" s="3" t="s">
        <v>44</v>
      </c>
      <c r="C43" s="7">
        <v>32889</v>
      </c>
      <c r="D43" s="8" t="str">
        <f t="shared" si="1"/>
        <v>TAK</v>
      </c>
      <c r="E43" s="2"/>
    </row>
    <row r="44" spans="1:5">
      <c r="A44" s="3" t="s">
        <v>45</v>
      </c>
      <c r="B44" s="3" t="s">
        <v>46</v>
      </c>
      <c r="C44" s="7">
        <v>2370</v>
      </c>
      <c r="D44" s="8" t="str">
        <f t="shared" si="1"/>
        <v>NIE</v>
      </c>
      <c r="E44" s="2"/>
    </row>
    <row r="45" spans="1:5">
      <c r="A45" s="3" t="s">
        <v>47</v>
      </c>
      <c r="B45" s="3" t="s">
        <v>48</v>
      </c>
      <c r="C45" s="7">
        <v>12098</v>
      </c>
      <c r="D45" s="8" t="str">
        <f t="shared" si="1"/>
        <v>TAK</v>
      </c>
      <c r="E45" s="2"/>
    </row>
    <row r="46" spans="1:5">
      <c r="A46" s="3" t="s">
        <v>49</v>
      </c>
      <c r="B46" s="3" t="s">
        <v>50</v>
      </c>
      <c r="C46" s="7">
        <v>2390</v>
      </c>
      <c r="D46" s="8" t="str">
        <f t="shared" si="1"/>
        <v>NIE</v>
      </c>
      <c r="E46" s="2"/>
    </row>
    <row r="47" spans="1:5">
      <c r="A47" s="3" t="s">
        <v>51</v>
      </c>
      <c r="B47" s="3" t="s">
        <v>52</v>
      </c>
      <c r="C47" s="7">
        <v>67200</v>
      </c>
      <c r="D47" s="8" t="str">
        <f t="shared" si="1"/>
        <v>TAK</v>
      </c>
      <c r="E47" s="2"/>
    </row>
    <row r="48" spans="1:5">
      <c r="A48" s="3" t="s">
        <v>53</v>
      </c>
      <c r="B48" s="3" t="s">
        <v>54</v>
      </c>
      <c r="C48" s="7">
        <v>5436</v>
      </c>
      <c r="D48" s="8" t="str">
        <f t="shared" si="1"/>
        <v>NIE</v>
      </c>
    </row>
    <row r="51" spans="1:4">
      <c r="A51" s="9" t="s">
        <v>55</v>
      </c>
      <c r="B51" s="9"/>
      <c r="C51" s="9"/>
      <c r="D51" s="9"/>
    </row>
    <row r="52" spans="1:4">
      <c r="A52" s="9"/>
      <c r="B52" s="9"/>
      <c r="C52" s="9"/>
      <c r="D52" s="9"/>
    </row>
    <row r="53" spans="1:4">
      <c r="A53" s="9"/>
      <c r="B53" s="9"/>
      <c r="C53" s="9"/>
      <c r="D53" s="9"/>
    </row>
    <row r="54" spans="1:4">
      <c r="A54" s="9"/>
      <c r="B54" s="9"/>
      <c r="C54" s="9"/>
      <c r="D54" s="9"/>
    </row>
    <row r="56" spans="1:4">
      <c r="A56" s="1" t="s">
        <v>56</v>
      </c>
      <c r="B56" s="1" t="s">
        <v>57</v>
      </c>
      <c r="C56" s="2"/>
      <c r="D56" s="2"/>
    </row>
    <row r="57" spans="1:4">
      <c r="A57" s="3">
        <v>209</v>
      </c>
      <c r="B57" s="3" t="str">
        <f>IF(A57&gt;0,"DODATNIA",IF(A57&lt;0,"UJEMNA","ZERO"))</f>
        <v>DODATNIA</v>
      </c>
      <c r="C57" s="2"/>
      <c r="D57" s="2"/>
    </row>
    <row r="58" spans="1:4">
      <c r="A58" s="3">
        <v>-17</v>
      </c>
      <c r="B58" s="3" t="str">
        <f t="shared" ref="B58:B65" si="2">IF(A58&gt;0,"DODATNIA",IF(A58&lt;0,"UJEMNA","ZERO"))</f>
        <v>UJEMNA</v>
      </c>
      <c r="C58" s="2"/>
      <c r="D58" s="2"/>
    </row>
    <row r="59" spans="1:4">
      <c r="A59" s="3">
        <v>0</v>
      </c>
      <c r="B59" s="3" t="str">
        <f t="shared" si="2"/>
        <v>ZERO</v>
      </c>
      <c r="C59" s="2"/>
      <c r="D59" s="2"/>
    </row>
    <row r="60" spans="1:4">
      <c r="A60" s="3">
        <v>4</v>
      </c>
      <c r="B60" s="3" t="str">
        <f t="shared" si="2"/>
        <v>DODATNIA</v>
      </c>
      <c r="C60" s="2"/>
      <c r="D60" s="2"/>
    </row>
    <row r="61" spans="1:4">
      <c r="A61" s="3">
        <v>-23</v>
      </c>
      <c r="B61" s="3" t="str">
        <f t="shared" si="2"/>
        <v>UJEMNA</v>
      </c>
      <c r="C61" s="2"/>
      <c r="D61" s="2"/>
    </row>
    <row r="62" spans="1:4">
      <c r="A62" s="3">
        <v>0</v>
      </c>
      <c r="B62" s="3" t="str">
        <f t="shared" si="2"/>
        <v>ZERO</v>
      </c>
      <c r="C62" s="2"/>
      <c r="D62" s="2"/>
    </row>
    <row r="63" spans="1:4">
      <c r="A63" s="3">
        <v>12</v>
      </c>
      <c r="B63" s="3" t="str">
        <f t="shared" si="2"/>
        <v>DODATNIA</v>
      </c>
      <c r="C63" s="2"/>
      <c r="D63" s="2"/>
    </row>
    <row r="64" spans="1:4">
      <c r="A64" s="3">
        <v>-5</v>
      </c>
      <c r="B64" s="3" t="str">
        <f t="shared" si="2"/>
        <v>UJEMNA</v>
      </c>
      <c r="C64" s="2"/>
      <c r="D64" s="2"/>
    </row>
    <row r="65" spans="1:4">
      <c r="A65" s="3">
        <v>0</v>
      </c>
      <c r="B65" s="3" t="str">
        <f t="shared" si="2"/>
        <v>ZERO</v>
      </c>
      <c r="C65" s="2"/>
      <c r="D65" s="2"/>
    </row>
    <row r="66" spans="1:4">
      <c r="A66" s="2"/>
      <c r="B66" s="2"/>
      <c r="C66" s="2"/>
      <c r="D66" s="2"/>
    </row>
    <row r="67" spans="1:4">
      <c r="A67" s="2"/>
      <c r="B67" s="2"/>
      <c r="C67" s="2"/>
      <c r="D67" s="2"/>
    </row>
    <row r="68" spans="1:4">
      <c r="A68" s="10" t="s">
        <v>58</v>
      </c>
      <c r="B68" s="10"/>
      <c r="C68" s="10"/>
      <c r="D68" s="10"/>
    </row>
    <row r="69" spans="1:4">
      <c r="A69" s="10"/>
      <c r="B69" s="10"/>
      <c r="C69" s="10"/>
      <c r="D69" s="10"/>
    </row>
    <row r="70" spans="1:4">
      <c r="A70" s="10"/>
      <c r="B70" s="10"/>
      <c r="C70" s="10"/>
      <c r="D70" s="10"/>
    </row>
    <row r="71" spans="1:4">
      <c r="A71" s="10"/>
      <c r="B71" s="10"/>
      <c r="C71" s="10"/>
      <c r="D71" s="10"/>
    </row>
    <row r="72" spans="1:4">
      <c r="A72" s="2"/>
      <c r="B72" s="2"/>
      <c r="C72" s="2"/>
      <c r="D72" s="2"/>
    </row>
    <row r="73" spans="1:4">
      <c r="A73" s="1" t="s">
        <v>0</v>
      </c>
      <c r="B73" s="1" t="s">
        <v>59</v>
      </c>
      <c r="C73" s="1" t="s">
        <v>60</v>
      </c>
      <c r="D73" s="2"/>
    </row>
    <row r="74" spans="1:4">
      <c r="A74" s="3" t="s">
        <v>4</v>
      </c>
      <c r="B74" s="11">
        <v>5</v>
      </c>
      <c r="C74" s="3" t="str">
        <f>IF(B74=5,"bardzo dobry",IF(B74=4,"dobry",IF(B74=3,"dostateczny","dopuszczający")))</f>
        <v>bardzo dobry</v>
      </c>
      <c r="D74" s="2"/>
    </row>
    <row r="75" spans="1:4">
      <c r="A75" s="3" t="s">
        <v>5</v>
      </c>
      <c r="B75" s="11">
        <v>2</v>
      </c>
      <c r="C75" s="3" t="str">
        <f t="shared" ref="C75:C88" si="3">IF(B75=5,"bardzo dobry",IF(B75=4,"dobry",IF(B75=3,"dostateczny","dopuszczający")))</f>
        <v>dopuszczający</v>
      </c>
      <c r="D75" s="2"/>
    </row>
    <row r="76" spans="1:4">
      <c r="A76" s="3" t="s">
        <v>6</v>
      </c>
      <c r="B76" s="11">
        <v>3</v>
      </c>
      <c r="C76" s="3" t="str">
        <f t="shared" si="3"/>
        <v>dostateczny</v>
      </c>
      <c r="D76" s="2"/>
    </row>
    <row r="77" spans="1:4">
      <c r="A77" s="3" t="s">
        <v>7</v>
      </c>
      <c r="B77" s="11">
        <v>5</v>
      </c>
      <c r="C77" s="3" t="str">
        <f t="shared" si="3"/>
        <v>bardzo dobry</v>
      </c>
      <c r="D77" s="2"/>
    </row>
    <row r="78" spans="1:4">
      <c r="A78" s="3" t="s">
        <v>8</v>
      </c>
      <c r="B78" s="11">
        <v>4</v>
      </c>
      <c r="C78" s="3" t="str">
        <f t="shared" si="3"/>
        <v>dobry</v>
      </c>
      <c r="D78" s="2"/>
    </row>
    <row r="79" spans="1:4">
      <c r="A79" s="3" t="s">
        <v>9</v>
      </c>
      <c r="B79" s="11">
        <v>2</v>
      </c>
      <c r="C79" s="3" t="str">
        <f t="shared" si="3"/>
        <v>dopuszczający</v>
      </c>
      <c r="D79" s="2"/>
    </row>
    <row r="80" spans="1:4">
      <c r="A80" s="3" t="s">
        <v>10</v>
      </c>
      <c r="B80" s="11">
        <v>5</v>
      </c>
      <c r="C80" s="3" t="str">
        <f t="shared" si="3"/>
        <v>bardzo dobry</v>
      </c>
      <c r="D80" s="2"/>
    </row>
    <row r="81" spans="1:4">
      <c r="A81" s="3" t="s">
        <v>11</v>
      </c>
      <c r="B81" s="11">
        <v>5</v>
      </c>
      <c r="C81" s="3" t="str">
        <f t="shared" si="3"/>
        <v>bardzo dobry</v>
      </c>
      <c r="D81" s="2"/>
    </row>
    <row r="82" spans="1:4">
      <c r="A82" s="3" t="s">
        <v>12</v>
      </c>
      <c r="B82" s="11">
        <v>3</v>
      </c>
      <c r="C82" s="3" t="str">
        <f t="shared" si="3"/>
        <v>dostateczny</v>
      </c>
      <c r="D82" s="2"/>
    </row>
    <row r="83" spans="1:4">
      <c r="A83" s="3" t="s">
        <v>13</v>
      </c>
      <c r="B83" s="11">
        <v>4</v>
      </c>
      <c r="C83" s="3" t="str">
        <f t="shared" si="3"/>
        <v>dobry</v>
      </c>
      <c r="D83" s="2"/>
    </row>
    <row r="84" spans="1:4">
      <c r="A84" s="3" t="s">
        <v>14</v>
      </c>
      <c r="B84" s="11">
        <v>3</v>
      </c>
      <c r="C84" s="3" t="str">
        <f t="shared" si="3"/>
        <v>dostateczny</v>
      </c>
      <c r="D84" s="2"/>
    </row>
    <row r="85" spans="1:4">
      <c r="A85" s="3" t="s">
        <v>15</v>
      </c>
      <c r="B85" s="11">
        <v>5</v>
      </c>
      <c r="C85" s="3" t="str">
        <f t="shared" si="3"/>
        <v>bardzo dobry</v>
      </c>
      <c r="D85" s="2"/>
    </row>
    <row r="86" spans="1:4">
      <c r="A86" s="3" t="s">
        <v>16</v>
      </c>
      <c r="B86" s="11">
        <v>2</v>
      </c>
      <c r="C86" s="3" t="str">
        <f t="shared" si="3"/>
        <v>dopuszczający</v>
      </c>
      <c r="D86" s="2"/>
    </row>
    <row r="87" spans="1:4">
      <c r="A87" s="3" t="s">
        <v>17</v>
      </c>
      <c r="B87" s="11">
        <v>3</v>
      </c>
      <c r="C87" s="3" t="str">
        <f t="shared" si="3"/>
        <v>dostateczny</v>
      </c>
      <c r="D87" s="2"/>
    </row>
    <row r="88" spans="1:4">
      <c r="A88" s="3" t="s">
        <v>18</v>
      </c>
      <c r="B88" s="11">
        <v>5</v>
      </c>
      <c r="C88" s="3" t="str">
        <f t="shared" si="3"/>
        <v>bardzo dobry</v>
      </c>
      <c r="D88" s="2"/>
    </row>
    <row r="89" spans="1:4">
      <c r="A89" s="2"/>
      <c r="B89" s="2"/>
      <c r="C89" s="2"/>
      <c r="D89" s="2"/>
    </row>
    <row r="90" spans="1:4">
      <c r="A90" s="2"/>
      <c r="B90" s="2"/>
      <c r="C90" s="2"/>
      <c r="D90" s="2"/>
    </row>
    <row r="91" spans="1:4">
      <c r="A91" s="12" t="s">
        <v>61</v>
      </c>
      <c r="B91" s="12"/>
      <c r="C91" s="12"/>
      <c r="D91" s="12"/>
    </row>
    <row r="92" spans="1:4">
      <c r="A92" s="12"/>
      <c r="B92" s="12"/>
      <c r="C92" s="12"/>
      <c r="D92" s="12"/>
    </row>
    <row r="93" spans="1:4">
      <c r="A93" s="12"/>
      <c r="B93" s="12"/>
      <c r="C93" s="12"/>
      <c r="D93" s="12"/>
    </row>
    <row r="94" spans="1:4">
      <c r="A94" s="12"/>
      <c r="B94" s="12"/>
      <c r="C94" s="12"/>
      <c r="D94" s="12"/>
    </row>
    <row r="95" spans="1:4">
      <c r="A95" s="2"/>
      <c r="B95" s="2"/>
      <c r="C95" s="2"/>
      <c r="D95" s="2"/>
    </row>
    <row r="96" spans="1:4" ht="15.75" thickBot="1"/>
    <row r="97" spans="1:6" ht="26.25" thickBot="1">
      <c r="A97" s="65" t="s">
        <v>62</v>
      </c>
      <c r="B97" s="66"/>
      <c r="C97" s="44" t="s">
        <v>63</v>
      </c>
      <c r="D97" s="13"/>
    </row>
    <row r="98" spans="1:6" ht="15.75" thickBot="1">
      <c r="A98" s="14" t="s">
        <v>64</v>
      </c>
      <c r="B98" s="15">
        <v>350</v>
      </c>
      <c r="C98" s="15" t="s">
        <v>65</v>
      </c>
      <c r="D98" s="13"/>
    </row>
    <row r="99" spans="1:6" ht="15.75" thickBot="1">
      <c r="A99" s="14" t="s">
        <v>66</v>
      </c>
      <c r="B99" s="15">
        <v>350</v>
      </c>
      <c r="C99" s="15" t="s">
        <v>67</v>
      </c>
      <c r="D99" s="13"/>
    </row>
    <row r="100" spans="1:6" ht="15.75" thickBot="1">
      <c r="A100" s="16"/>
      <c r="B100" s="16"/>
      <c r="C100" s="16"/>
      <c r="D100" s="16"/>
    </row>
    <row r="101" spans="1:6" ht="51.75" thickBot="1">
      <c r="A101" s="17" t="s">
        <v>68</v>
      </c>
      <c r="B101" s="18" t="s">
        <v>69</v>
      </c>
      <c r="C101" s="18" t="s">
        <v>70</v>
      </c>
      <c r="D101" s="47" t="s">
        <v>71</v>
      </c>
      <c r="E101" s="24" t="s">
        <v>129</v>
      </c>
    </row>
    <row r="102" spans="1:6" ht="26.25" thickBot="1">
      <c r="A102" s="19" t="s">
        <v>72</v>
      </c>
      <c r="B102" s="15">
        <v>2500</v>
      </c>
      <c r="C102" s="15">
        <v>3</v>
      </c>
      <c r="D102" s="48">
        <f>B102/C102</f>
        <v>833.33333333333337</v>
      </c>
      <c r="E102" s="15" t="str">
        <f>IF(D102&gt;$B$99,$C$99,$C$98)</f>
        <v>nie</v>
      </c>
    </row>
    <row r="103" spans="1:6" ht="26.25" thickBot="1">
      <c r="A103" s="21" t="s">
        <v>73</v>
      </c>
      <c r="B103" s="22">
        <v>2200</v>
      </c>
      <c r="C103" s="22">
        <v>4</v>
      </c>
      <c r="D103" s="49">
        <f t="shared" ref="D103:D106" si="4">B103/C103</f>
        <v>550</v>
      </c>
      <c r="E103" s="50" t="str">
        <f t="shared" ref="E103:E106" si="5">IF(D103&gt;$B$99,$C$99,$C$98)</f>
        <v>nie</v>
      </c>
    </row>
    <row r="104" spans="1:6" ht="26.25" thickBot="1">
      <c r="A104" s="19" t="s">
        <v>74</v>
      </c>
      <c r="B104" s="15">
        <v>1700</v>
      </c>
      <c r="C104" s="15">
        <v>7</v>
      </c>
      <c r="D104" s="48">
        <f t="shared" si="4"/>
        <v>242.85714285714286</v>
      </c>
      <c r="E104" s="15" t="str">
        <f t="shared" si="5"/>
        <v>tak</v>
      </c>
    </row>
    <row r="105" spans="1:6" ht="26.25" thickBot="1">
      <c r="A105" s="21" t="s">
        <v>75</v>
      </c>
      <c r="B105" s="22">
        <v>2000</v>
      </c>
      <c r="C105" s="22">
        <v>4</v>
      </c>
      <c r="D105" s="49">
        <f t="shared" si="4"/>
        <v>500</v>
      </c>
      <c r="E105" s="50" t="str">
        <f t="shared" si="5"/>
        <v>nie</v>
      </c>
    </row>
    <row r="106" spans="1:6" ht="26.25" thickBot="1">
      <c r="A106" s="19" t="s">
        <v>76</v>
      </c>
      <c r="B106" s="15">
        <v>1000</v>
      </c>
      <c r="C106" s="15">
        <v>3</v>
      </c>
      <c r="D106" s="48">
        <f t="shared" si="4"/>
        <v>333.33333333333331</v>
      </c>
      <c r="E106" s="15" t="str">
        <f t="shared" si="5"/>
        <v>tak</v>
      </c>
    </row>
    <row r="109" spans="1:6">
      <c r="A109" s="23" t="s">
        <v>77</v>
      </c>
      <c r="B109" s="23"/>
      <c r="C109" s="23"/>
      <c r="D109" s="23"/>
      <c r="E109" s="23"/>
      <c r="F109" s="23"/>
    </row>
    <row r="110" spans="1:6">
      <c r="A110" s="23"/>
      <c r="B110" s="23"/>
      <c r="C110" s="23"/>
      <c r="D110" s="23"/>
      <c r="E110" s="23"/>
      <c r="F110" s="23"/>
    </row>
    <row r="111" spans="1:6">
      <c r="A111" s="23"/>
      <c r="B111" s="23"/>
      <c r="C111" s="23"/>
      <c r="D111" s="23"/>
      <c r="E111" s="23"/>
      <c r="F111" s="23"/>
    </row>
    <row r="112" spans="1:6">
      <c r="A112" s="23"/>
      <c r="B112" s="23"/>
      <c r="C112" s="23"/>
      <c r="D112" s="23"/>
      <c r="E112" s="23"/>
      <c r="F112" s="23"/>
    </row>
    <row r="114" spans="1:6" ht="15.75" thickBot="1"/>
    <row r="115" spans="1:6" ht="39" thickBot="1">
      <c r="A115" s="24" t="s">
        <v>78</v>
      </c>
      <c r="B115" s="44" t="s">
        <v>79</v>
      </c>
      <c r="C115" s="44" t="s">
        <v>80</v>
      </c>
      <c r="D115" s="44" t="s">
        <v>81</v>
      </c>
      <c r="E115" s="44" t="s">
        <v>82</v>
      </c>
      <c r="F115" s="44" t="s">
        <v>83</v>
      </c>
    </row>
    <row r="116" spans="1:6" ht="26.25" thickBot="1">
      <c r="A116" s="19" t="s">
        <v>84</v>
      </c>
      <c r="B116" s="25">
        <v>1</v>
      </c>
      <c r="C116" s="26">
        <v>100</v>
      </c>
      <c r="D116" s="51">
        <f>B116*C116</f>
        <v>100</v>
      </c>
      <c r="E116" s="51">
        <f>IF(D116&gt;200,15%,10%)*D116</f>
        <v>10</v>
      </c>
      <c r="F116" s="51">
        <f>D116-E116</f>
        <v>90</v>
      </c>
    </row>
    <row r="117" spans="1:6" ht="15.75" thickBot="1">
      <c r="A117" s="19" t="s">
        <v>85</v>
      </c>
      <c r="B117" s="25">
        <v>3</v>
      </c>
      <c r="C117" s="26">
        <v>150</v>
      </c>
      <c r="D117" s="51">
        <f t="shared" ref="D117:D121" si="6">B117*C117</f>
        <v>450</v>
      </c>
      <c r="E117" s="51">
        <f t="shared" ref="E117:E121" si="7">IF(D117&gt;200,15%,10%)*D117</f>
        <v>67.5</v>
      </c>
      <c r="F117" s="51">
        <f t="shared" ref="F117:F121" si="8">D117-E117</f>
        <v>382.5</v>
      </c>
    </row>
    <row r="118" spans="1:6" ht="15.75" thickBot="1">
      <c r="A118" s="19" t="s">
        <v>86</v>
      </c>
      <c r="B118" s="25">
        <v>4</v>
      </c>
      <c r="C118" s="26">
        <v>230</v>
      </c>
      <c r="D118" s="51">
        <f t="shared" si="6"/>
        <v>920</v>
      </c>
      <c r="E118" s="51">
        <f t="shared" si="7"/>
        <v>138</v>
      </c>
      <c r="F118" s="51">
        <f t="shared" si="8"/>
        <v>782</v>
      </c>
    </row>
    <row r="119" spans="1:6" ht="15.75" thickBot="1">
      <c r="A119" s="19" t="s">
        <v>87</v>
      </c>
      <c r="B119" s="25">
        <v>2</v>
      </c>
      <c r="C119" s="26">
        <v>15</v>
      </c>
      <c r="D119" s="51">
        <f t="shared" si="6"/>
        <v>30</v>
      </c>
      <c r="E119" s="51">
        <f t="shared" si="7"/>
        <v>3</v>
      </c>
      <c r="F119" s="51">
        <f t="shared" si="8"/>
        <v>27</v>
      </c>
    </row>
    <row r="120" spans="1:6" ht="15.75" thickBot="1">
      <c r="A120" s="19" t="s">
        <v>88</v>
      </c>
      <c r="B120" s="25">
        <v>5</v>
      </c>
      <c r="C120" s="26">
        <v>10</v>
      </c>
      <c r="D120" s="51">
        <f t="shared" si="6"/>
        <v>50</v>
      </c>
      <c r="E120" s="51">
        <f t="shared" si="7"/>
        <v>5</v>
      </c>
      <c r="F120" s="51">
        <f t="shared" si="8"/>
        <v>45</v>
      </c>
    </row>
    <row r="121" spans="1:6" ht="15.75" thickBot="1">
      <c r="A121" s="19" t="s">
        <v>89</v>
      </c>
      <c r="B121" s="25">
        <v>6</v>
      </c>
      <c r="C121" s="26">
        <v>40</v>
      </c>
      <c r="D121" s="51">
        <f t="shared" si="6"/>
        <v>240</v>
      </c>
      <c r="E121" s="51">
        <f t="shared" si="7"/>
        <v>36</v>
      </c>
      <c r="F121" s="51">
        <f t="shared" si="8"/>
        <v>204</v>
      </c>
    </row>
    <row r="124" spans="1:6">
      <c r="A124" s="27" t="s">
        <v>90</v>
      </c>
      <c r="B124" s="28"/>
      <c r="C124" s="28"/>
      <c r="D124" s="28"/>
      <c r="E124" s="28"/>
      <c r="F124" s="28"/>
    </row>
    <row r="125" spans="1:6">
      <c r="A125" s="27"/>
      <c r="B125" s="28"/>
      <c r="C125" s="28"/>
      <c r="D125" s="28"/>
      <c r="E125" s="28"/>
      <c r="F125" s="28"/>
    </row>
    <row r="126" spans="1:6">
      <c r="A126" s="27"/>
      <c r="B126" s="28"/>
      <c r="C126" s="28"/>
      <c r="D126" s="28"/>
      <c r="E126" s="28"/>
      <c r="F126" s="28"/>
    </row>
    <row r="127" spans="1:6">
      <c r="A127" s="27"/>
      <c r="B127" s="28"/>
      <c r="C127" s="28"/>
      <c r="D127" s="28"/>
      <c r="E127" s="28"/>
      <c r="F127" s="28"/>
    </row>
    <row r="129" spans="1:10" ht="15.75" thickBot="1"/>
    <row r="130" spans="1:10" ht="39" thickBot="1">
      <c r="A130" s="65" t="s">
        <v>91</v>
      </c>
      <c r="B130" s="66"/>
      <c r="C130" s="44" t="s">
        <v>92</v>
      </c>
      <c r="D130" s="29"/>
      <c r="E130" s="44" t="s">
        <v>93</v>
      </c>
      <c r="F130" s="44" t="s">
        <v>94</v>
      </c>
      <c r="G130" s="30"/>
    </row>
    <row r="131" spans="1:10" ht="15.75" thickBot="1">
      <c r="A131" s="21" t="s">
        <v>95</v>
      </c>
      <c r="B131" s="15">
        <v>5</v>
      </c>
      <c r="C131" s="31">
        <v>0.1</v>
      </c>
      <c r="D131" s="32"/>
      <c r="E131" s="33" t="s">
        <v>96</v>
      </c>
      <c r="F131" s="15">
        <v>50</v>
      </c>
      <c r="G131" s="13"/>
    </row>
    <row r="132" spans="1:10" ht="15.75" thickBot="1">
      <c r="A132" s="21" t="s">
        <v>66</v>
      </c>
      <c r="B132" s="15">
        <v>5</v>
      </c>
      <c r="C132" s="31">
        <v>0.15</v>
      </c>
      <c r="D132" s="32"/>
      <c r="E132" s="33" t="s">
        <v>97</v>
      </c>
      <c r="F132" s="15">
        <v>90</v>
      </c>
      <c r="G132" s="13"/>
    </row>
    <row r="133" spans="1:10" ht="15.75" thickBot="1">
      <c r="A133" s="34"/>
      <c r="B133" s="34"/>
      <c r="C133" s="34"/>
      <c r="D133" s="34"/>
      <c r="E133" s="34"/>
      <c r="F133" s="34"/>
      <c r="G133" s="34"/>
    </row>
    <row r="134" spans="1:10" ht="39" thickBot="1">
      <c r="A134" s="17" t="s">
        <v>22</v>
      </c>
      <c r="B134" s="18" t="s">
        <v>93</v>
      </c>
      <c r="C134" s="18" t="s">
        <v>98</v>
      </c>
      <c r="D134" s="18" t="s">
        <v>99</v>
      </c>
      <c r="E134" s="18" t="s">
        <v>100</v>
      </c>
      <c r="F134" s="18" t="s">
        <v>94</v>
      </c>
      <c r="G134" s="18" t="s">
        <v>101</v>
      </c>
    </row>
    <row r="135" spans="1:10" ht="15.75" thickBot="1">
      <c r="A135" s="19" t="s">
        <v>102</v>
      </c>
      <c r="B135" s="20" t="s">
        <v>96</v>
      </c>
      <c r="C135" s="15">
        <v>700</v>
      </c>
      <c r="D135" s="15">
        <v>4</v>
      </c>
      <c r="E135" s="52">
        <f>IF(D135&gt;$B$132,$C$132,$C$131)</f>
        <v>0.1</v>
      </c>
      <c r="F135" s="53">
        <f>IF(B135=$E$131,$F$131,IF(B135=$E$132,$F$132,0))</f>
        <v>50</v>
      </c>
      <c r="G135" s="53">
        <f>C135+C135*E135+F135</f>
        <v>820</v>
      </c>
    </row>
    <row r="136" spans="1:10" ht="15.75" thickBot="1">
      <c r="A136" s="19" t="s">
        <v>103</v>
      </c>
      <c r="B136" s="20" t="s">
        <v>96</v>
      </c>
      <c r="C136" s="15">
        <v>850</v>
      </c>
      <c r="D136" s="15">
        <v>12</v>
      </c>
      <c r="E136" s="52">
        <f t="shared" ref="E136:E140" si="9">IF(D136&gt;$B$132,$C$132,$C$131)</f>
        <v>0.15</v>
      </c>
      <c r="F136" s="53">
        <f t="shared" ref="F136:F140" si="10">IF(B136=$E$131,$F$131,IF(B136=$E$132,$F$132,0))</f>
        <v>50</v>
      </c>
      <c r="G136" s="53">
        <f t="shared" ref="G136:G140" si="11">C136+C136*E136+F136</f>
        <v>1027.5</v>
      </c>
    </row>
    <row r="137" spans="1:10" ht="15.75" thickBot="1">
      <c r="A137" s="19" t="s">
        <v>104</v>
      </c>
      <c r="B137" s="20" t="s">
        <v>97</v>
      </c>
      <c r="C137" s="15">
        <v>1750</v>
      </c>
      <c r="D137" s="15">
        <v>20</v>
      </c>
      <c r="E137" s="52">
        <f t="shared" si="9"/>
        <v>0.15</v>
      </c>
      <c r="F137" s="53">
        <f t="shared" si="10"/>
        <v>90</v>
      </c>
      <c r="G137" s="53">
        <f t="shared" si="11"/>
        <v>2102.5</v>
      </c>
    </row>
    <row r="138" spans="1:10" ht="15.75" thickBot="1">
      <c r="A138" s="19" t="s">
        <v>105</v>
      </c>
      <c r="B138" s="20" t="s">
        <v>96</v>
      </c>
      <c r="C138" s="15">
        <v>1300</v>
      </c>
      <c r="D138" s="15">
        <v>1</v>
      </c>
      <c r="E138" s="52">
        <f t="shared" si="9"/>
        <v>0.1</v>
      </c>
      <c r="F138" s="53">
        <f t="shared" si="10"/>
        <v>50</v>
      </c>
      <c r="G138" s="53">
        <f t="shared" si="11"/>
        <v>1480</v>
      </c>
    </row>
    <row r="139" spans="1:10" ht="15.75" thickBot="1">
      <c r="A139" s="19" t="s">
        <v>106</v>
      </c>
      <c r="B139" s="20" t="s">
        <v>97</v>
      </c>
      <c r="C139" s="15">
        <v>2100</v>
      </c>
      <c r="D139" s="15">
        <v>3</v>
      </c>
      <c r="E139" s="52">
        <f t="shared" si="9"/>
        <v>0.1</v>
      </c>
      <c r="F139" s="53">
        <f t="shared" si="10"/>
        <v>90</v>
      </c>
      <c r="G139" s="53">
        <f t="shared" si="11"/>
        <v>2400</v>
      </c>
    </row>
    <row r="140" spans="1:10" ht="15.75" thickBot="1">
      <c r="A140" s="19" t="s">
        <v>107</v>
      </c>
      <c r="B140" s="20" t="s">
        <v>97</v>
      </c>
      <c r="C140" s="15">
        <v>2200</v>
      </c>
      <c r="D140" s="15">
        <v>5</v>
      </c>
      <c r="E140" s="52">
        <f t="shared" si="9"/>
        <v>0.1</v>
      </c>
      <c r="F140" s="53">
        <f t="shared" si="10"/>
        <v>90</v>
      </c>
      <c r="G140" s="53">
        <f t="shared" si="11"/>
        <v>2510</v>
      </c>
    </row>
    <row r="143" spans="1:10">
      <c r="A143" s="42" t="s">
        <v>108</v>
      </c>
      <c r="B143" s="43"/>
      <c r="C143" s="43"/>
      <c r="D143" s="43"/>
      <c r="E143" s="43"/>
      <c r="F143" s="43"/>
      <c r="G143" s="43"/>
      <c r="H143" s="43"/>
      <c r="I143" s="43"/>
      <c r="J143" s="43"/>
    </row>
    <row r="144" spans="1:10">
      <c r="A144" s="42"/>
      <c r="B144" s="43"/>
      <c r="C144" s="43"/>
      <c r="D144" s="43"/>
      <c r="E144" s="43"/>
      <c r="F144" s="43"/>
      <c r="G144" s="43"/>
      <c r="H144" s="43"/>
      <c r="I144" s="43"/>
      <c r="J144" s="43"/>
    </row>
    <row r="145" spans="1:10">
      <c r="A145" s="42"/>
      <c r="B145" s="43"/>
      <c r="C145" s="43"/>
      <c r="D145" s="43"/>
      <c r="E145" s="43"/>
      <c r="F145" s="43"/>
      <c r="G145" s="43"/>
      <c r="H145" s="43"/>
      <c r="I145" s="43"/>
      <c r="J145" s="43"/>
    </row>
    <row r="146" spans="1:10">
      <c r="A146" s="42"/>
      <c r="B146" s="43"/>
      <c r="C146" s="43"/>
      <c r="D146" s="43"/>
      <c r="E146" s="43"/>
      <c r="F146" s="43"/>
      <c r="G146" s="43"/>
      <c r="H146" s="43"/>
      <c r="I146" s="43"/>
      <c r="J146" s="43"/>
    </row>
    <row r="147" spans="1:10">
      <c r="A147" s="42"/>
      <c r="B147" s="43"/>
      <c r="C147" s="43"/>
      <c r="D147" s="43"/>
      <c r="E147" s="43"/>
      <c r="F147" s="43"/>
      <c r="G147" s="43"/>
      <c r="H147" s="43"/>
      <c r="I147" s="43"/>
      <c r="J147" s="43"/>
    </row>
    <row r="148" spans="1:10">
      <c r="A148" s="42"/>
      <c r="B148" s="43"/>
      <c r="C148" s="43"/>
      <c r="D148" s="43"/>
      <c r="E148" s="43"/>
      <c r="F148" s="43"/>
      <c r="G148" s="43"/>
      <c r="H148" s="43"/>
      <c r="I148" s="43"/>
      <c r="J148" s="43"/>
    </row>
    <row r="149" spans="1:10">
      <c r="A149" s="42"/>
      <c r="B149" s="43"/>
      <c r="C149" s="43"/>
      <c r="D149" s="43"/>
      <c r="E149" s="43"/>
      <c r="F149" s="43"/>
      <c r="G149" s="43"/>
      <c r="H149" s="43"/>
      <c r="I149" s="43"/>
      <c r="J149" s="43"/>
    </row>
    <row r="150" spans="1:10">
      <c r="A150" s="42"/>
      <c r="B150" s="43"/>
      <c r="C150" s="43"/>
      <c r="D150" s="43"/>
      <c r="E150" s="43"/>
      <c r="F150" s="43"/>
      <c r="G150" s="43"/>
      <c r="H150" s="43"/>
      <c r="I150" s="43"/>
      <c r="J150" s="43"/>
    </row>
    <row r="151" spans="1:10">
      <c r="A151" s="42"/>
      <c r="B151" s="43"/>
      <c r="C151" s="43"/>
      <c r="D151" s="43"/>
      <c r="E151" s="43"/>
      <c r="F151" s="43"/>
      <c r="G151" s="43"/>
      <c r="H151" s="43"/>
      <c r="I151" s="43"/>
      <c r="J151" s="43"/>
    </row>
    <row r="152" spans="1:10">
      <c r="A152" s="42"/>
      <c r="B152" s="43"/>
      <c r="C152" s="43"/>
      <c r="D152" s="43"/>
      <c r="E152" s="43"/>
      <c r="F152" s="43"/>
      <c r="G152" s="43"/>
      <c r="H152" s="43"/>
      <c r="I152" s="43"/>
      <c r="J152" s="43"/>
    </row>
    <row r="155" spans="1:10" ht="38.25">
      <c r="A155" s="67" t="s">
        <v>109</v>
      </c>
      <c r="B155" s="67" t="s">
        <v>110</v>
      </c>
      <c r="C155" s="67" t="s">
        <v>111</v>
      </c>
      <c r="D155" s="67" t="s">
        <v>112</v>
      </c>
      <c r="E155" s="35" t="s">
        <v>113</v>
      </c>
      <c r="F155" s="35" t="s">
        <v>114</v>
      </c>
      <c r="G155" s="35" t="s">
        <v>92</v>
      </c>
      <c r="H155" s="35" t="s">
        <v>115</v>
      </c>
      <c r="I155" s="35" t="s">
        <v>116</v>
      </c>
      <c r="J155" s="35" t="s">
        <v>117</v>
      </c>
    </row>
    <row r="156" spans="1:10">
      <c r="A156" s="67"/>
      <c r="B156" s="67"/>
      <c r="C156" s="67"/>
      <c r="D156" s="67"/>
      <c r="E156" s="63" t="s">
        <v>118</v>
      </c>
      <c r="F156" s="63" t="s">
        <v>119</v>
      </c>
      <c r="G156" s="63" t="s">
        <v>120</v>
      </c>
      <c r="H156" s="63" t="s">
        <v>121</v>
      </c>
      <c r="I156" s="63" t="s">
        <v>122</v>
      </c>
      <c r="J156" s="63" t="s">
        <v>123</v>
      </c>
    </row>
    <row r="157" spans="1:10">
      <c r="A157" s="67"/>
      <c r="B157" s="67"/>
      <c r="C157" s="67"/>
      <c r="D157" s="67"/>
      <c r="E157" s="64"/>
      <c r="F157" s="64"/>
      <c r="G157" s="64"/>
      <c r="H157" s="64"/>
      <c r="I157" s="64"/>
      <c r="J157" s="64"/>
    </row>
    <row r="158" spans="1:10" ht="15.75" thickBot="1">
      <c r="A158" s="63"/>
      <c r="B158" s="63"/>
      <c r="C158" s="63"/>
      <c r="D158" s="63"/>
      <c r="E158" s="64"/>
      <c r="F158" s="64"/>
      <c r="G158" s="64"/>
      <c r="H158" s="64"/>
      <c r="I158" s="64"/>
      <c r="J158" s="64"/>
    </row>
    <row r="159" spans="1:10" ht="15.75" thickTop="1">
      <c r="A159" s="36">
        <v>1</v>
      </c>
      <c r="B159" s="37">
        <v>39000</v>
      </c>
      <c r="C159" s="36" t="s">
        <v>124</v>
      </c>
      <c r="D159" s="36">
        <v>15</v>
      </c>
      <c r="E159" s="54">
        <f>IF(B159&gt;100000,4%,2%)*B159</f>
        <v>780</v>
      </c>
      <c r="F159" s="54">
        <f>IF(C159="marketing",1/20,IF(C159="logistyka",1/10,IF(C159="sprzedaż",1/15,0)))*B159</f>
        <v>1950</v>
      </c>
      <c r="G159" s="54">
        <f>IF(D159&gt;15,2.5%,IF(D159&lt;=10,0,1%))*B159</f>
        <v>390</v>
      </c>
      <c r="H159" s="54">
        <f>IF(SUM(B159,E159,F159,G159)&gt;200000,(SUM(B159,E159,F159,G159)-80000)*30%+80000*15%,SUM(B159,E159,F159,G159)*15%)</f>
        <v>6318</v>
      </c>
      <c r="I159" s="54">
        <f>IF(SUM(B159,E159,F159,G159,-H159)&gt;100000,1.8%,IF(SUM(B159,E159,F159,G159,-H159)&lt;65001,1.2%,1.5%))*SUM(B159,E159,F159,G159,-H159)</f>
        <v>429.62400000000002</v>
      </c>
      <c r="J159" s="54">
        <f>SUM(B159,E159,F159,G159,-H159,-I159)</f>
        <v>35372.375999999997</v>
      </c>
    </row>
    <row r="160" spans="1:10">
      <c r="A160" s="38">
        <v>2</v>
      </c>
      <c r="B160" s="39">
        <v>67500</v>
      </c>
      <c r="C160" s="38" t="s">
        <v>125</v>
      </c>
      <c r="D160" s="38">
        <v>3</v>
      </c>
      <c r="E160" s="55">
        <f t="shared" ref="E160:E164" si="12">IF(B160&gt;100000,4%,2%)*B160</f>
        <v>1350</v>
      </c>
      <c r="F160" s="55">
        <f t="shared" ref="F160:F164" si="13">IF(C160="marketing",1/20,IF(C160="logistyka",1/10,IF(C160="sprzedaż",1/15,0)))*B160</f>
        <v>6750</v>
      </c>
      <c r="G160" s="55">
        <f t="shared" ref="G160:G164" si="14">IF(D160&gt;15,2.5%,IF(D160&lt;=10,0,1%))*B160</f>
        <v>0</v>
      </c>
      <c r="H160" s="55">
        <f t="shared" ref="H160:H164" si="15">IF(SUM(B160,E160,F160,G160)&gt;200000,(SUM(B160,E160,F160,G160)-80000)*30%+80000*15%,SUM(B160,E160,F160,G160)*15%)</f>
        <v>11340</v>
      </c>
      <c r="I160" s="55">
        <f t="shared" ref="I160:I164" si="16">IF(SUM(B160,E160,F160,G160,-H160)&gt;100000,1.8%,IF(SUM(B160,E160,F160,G160,-H160)&lt;65001,1.2%,1.5%))*SUM(B160,E160,F160,G160,-H160)</f>
        <v>771.12</v>
      </c>
      <c r="J160" s="55">
        <f t="shared" ref="J160:J164" si="17">SUM(B160,E160,F160,G160,-H160,-I160)</f>
        <v>63488.88</v>
      </c>
    </row>
    <row r="161" spans="1:10">
      <c r="A161" s="40">
        <v>3</v>
      </c>
      <c r="B161" s="41">
        <v>88500</v>
      </c>
      <c r="C161" s="40" t="s">
        <v>124</v>
      </c>
      <c r="D161" s="40">
        <v>13</v>
      </c>
      <c r="E161" s="56">
        <f t="shared" si="12"/>
        <v>1770</v>
      </c>
      <c r="F161" s="56">
        <f t="shared" si="13"/>
        <v>4425</v>
      </c>
      <c r="G161" s="56">
        <f t="shared" si="14"/>
        <v>885</v>
      </c>
      <c r="H161" s="56">
        <f t="shared" si="15"/>
        <v>14337</v>
      </c>
      <c r="I161" s="56">
        <f t="shared" si="16"/>
        <v>1218.645</v>
      </c>
      <c r="J161" s="56">
        <f t="shared" si="17"/>
        <v>80024.354999999996</v>
      </c>
    </row>
    <row r="162" spans="1:10">
      <c r="A162" s="38">
        <v>4</v>
      </c>
      <c r="B162" s="39">
        <v>98000</v>
      </c>
      <c r="C162" s="38" t="s">
        <v>125</v>
      </c>
      <c r="D162" s="38">
        <v>26</v>
      </c>
      <c r="E162" s="55">
        <f t="shared" si="12"/>
        <v>1960</v>
      </c>
      <c r="F162" s="55">
        <f t="shared" si="13"/>
        <v>9800</v>
      </c>
      <c r="G162" s="55">
        <f t="shared" si="14"/>
        <v>2450</v>
      </c>
      <c r="H162" s="55">
        <f t="shared" si="15"/>
        <v>16831.5</v>
      </c>
      <c r="I162" s="55">
        <f t="shared" si="16"/>
        <v>1430.6775</v>
      </c>
      <c r="J162" s="55">
        <f t="shared" si="17"/>
        <v>93947.822499999995</v>
      </c>
    </row>
    <row r="163" spans="1:10">
      <c r="A163" s="40">
        <v>5</v>
      </c>
      <c r="B163" s="41">
        <v>112200</v>
      </c>
      <c r="C163" s="40" t="s">
        <v>125</v>
      </c>
      <c r="D163" s="40">
        <v>13</v>
      </c>
      <c r="E163" s="56">
        <f t="shared" si="12"/>
        <v>4488</v>
      </c>
      <c r="F163" s="56">
        <f t="shared" si="13"/>
        <v>11220</v>
      </c>
      <c r="G163" s="56">
        <f t="shared" si="14"/>
        <v>1122</v>
      </c>
      <c r="H163" s="56">
        <f t="shared" si="15"/>
        <v>19354.5</v>
      </c>
      <c r="I163" s="56">
        <f t="shared" si="16"/>
        <v>1974.1590000000003</v>
      </c>
      <c r="J163" s="56">
        <f t="shared" si="17"/>
        <v>107701.341</v>
      </c>
    </row>
    <row r="164" spans="1:10">
      <c r="A164" s="38">
        <v>6</v>
      </c>
      <c r="B164" s="39">
        <v>425000</v>
      </c>
      <c r="C164" s="38" t="s">
        <v>126</v>
      </c>
      <c r="D164" s="38">
        <v>18</v>
      </c>
      <c r="E164" s="55">
        <f t="shared" si="12"/>
        <v>17000</v>
      </c>
      <c r="F164" s="55">
        <f t="shared" si="13"/>
        <v>28333.333333333332</v>
      </c>
      <c r="G164" s="55">
        <f t="shared" si="14"/>
        <v>10625</v>
      </c>
      <c r="H164" s="55">
        <f t="shared" si="15"/>
        <v>132287.5</v>
      </c>
      <c r="I164" s="55">
        <f t="shared" si="16"/>
        <v>6276.0750000000007</v>
      </c>
      <c r="J164" s="55">
        <f t="shared" si="17"/>
        <v>342394.7583333333</v>
      </c>
    </row>
    <row r="167" spans="1:10">
      <c r="A167" s="45" t="s">
        <v>127</v>
      </c>
      <c r="B167" s="45"/>
      <c r="C167" s="45"/>
      <c r="D167" s="45"/>
      <c r="E167" s="45"/>
      <c r="F167" s="45"/>
      <c r="G167" s="45"/>
      <c r="H167" s="45"/>
      <c r="I167" s="45"/>
      <c r="J167" s="45"/>
    </row>
    <row r="168" spans="1:10">
      <c r="A168" s="45"/>
      <c r="B168" s="45"/>
      <c r="C168" s="45"/>
      <c r="D168" s="45"/>
      <c r="E168" s="45"/>
      <c r="F168" s="45"/>
      <c r="G168" s="45"/>
      <c r="H168" s="45"/>
      <c r="I168" s="45"/>
      <c r="J168" s="45"/>
    </row>
    <row r="169" spans="1:10">
      <c r="A169" s="45"/>
      <c r="B169" s="45"/>
      <c r="C169" s="45"/>
      <c r="D169" s="45"/>
      <c r="E169" s="45"/>
      <c r="F169" s="45"/>
      <c r="G169" s="45"/>
      <c r="H169" s="45"/>
      <c r="I169" s="45"/>
      <c r="J169" s="45"/>
    </row>
    <row r="170" spans="1:10">
      <c r="A170" s="45"/>
      <c r="B170" s="45"/>
      <c r="C170" s="45"/>
      <c r="D170" s="45"/>
      <c r="E170" s="45"/>
      <c r="F170" s="45"/>
      <c r="G170" s="45"/>
      <c r="H170" s="45"/>
      <c r="I170" s="45"/>
      <c r="J170" s="45"/>
    </row>
    <row r="171" spans="1:10">
      <c r="A171" s="45"/>
      <c r="B171" s="45"/>
      <c r="C171" s="45"/>
      <c r="D171" s="45"/>
      <c r="E171" s="45"/>
      <c r="F171" s="45"/>
      <c r="G171" s="45"/>
      <c r="H171" s="45"/>
      <c r="I171" s="45"/>
      <c r="J171" s="45"/>
    </row>
    <row r="172" spans="1:10">
      <c r="A172" s="45"/>
      <c r="B172" s="45"/>
      <c r="C172" s="45"/>
      <c r="D172" s="45"/>
      <c r="E172" s="45"/>
      <c r="F172" s="45"/>
      <c r="G172" s="45"/>
      <c r="H172" s="45"/>
      <c r="I172" s="45"/>
      <c r="J172" s="45"/>
    </row>
    <row r="173" spans="1:10">
      <c r="A173" s="45"/>
      <c r="B173" s="45"/>
      <c r="C173" s="45"/>
      <c r="D173" s="45"/>
      <c r="E173" s="45"/>
      <c r="F173" s="45"/>
      <c r="G173" s="45"/>
      <c r="H173" s="45"/>
      <c r="I173" s="45"/>
      <c r="J173" s="45"/>
    </row>
    <row r="174" spans="1:10">
      <c r="A174" s="45"/>
      <c r="B174" s="45"/>
      <c r="C174" s="45"/>
      <c r="D174" s="45"/>
      <c r="E174" s="45"/>
      <c r="F174" s="45"/>
      <c r="G174" s="45"/>
      <c r="H174" s="45"/>
      <c r="I174" s="45"/>
      <c r="J174" s="45"/>
    </row>
    <row r="175" spans="1:10" ht="15.75" thickBot="1">
      <c r="A175" s="45"/>
      <c r="B175" s="45"/>
      <c r="C175" s="45"/>
      <c r="D175" s="45"/>
      <c r="E175" s="45"/>
      <c r="F175" s="45"/>
      <c r="G175" s="45"/>
      <c r="H175" s="45"/>
      <c r="I175" s="45"/>
      <c r="J175" s="45"/>
    </row>
    <row r="176" spans="1:10" ht="15.75" thickBot="1">
      <c r="A176" s="60" t="s">
        <v>130</v>
      </c>
      <c r="B176" s="61" t="s">
        <v>131</v>
      </c>
      <c r="C176" s="62" t="s">
        <v>132</v>
      </c>
    </row>
    <row r="177" spans="1:10">
      <c r="A177" s="58">
        <v>1</v>
      </c>
      <c r="B177" s="58">
        <f ca="1">RANDBETWEEN(1,3)*500</f>
        <v>500</v>
      </c>
      <c r="C177" s="59">
        <f ca="1">B177*1.5+IF(B177=500,0,IF(B177=1000,50,100))</f>
        <v>750</v>
      </c>
    </row>
    <row r="178" spans="1:10">
      <c r="A178" s="57">
        <v>2</v>
      </c>
      <c r="B178" s="57">
        <f t="shared" ref="B178:B186" ca="1" si="18">RANDBETWEEN(1,3)*500</f>
        <v>1000</v>
      </c>
      <c r="C178" s="59">
        <f t="shared" ref="C178:C186" ca="1" si="19">B178*1.5+IF(B178=500,0,IF(B178=1000,50,100))</f>
        <v>1550</v>
      </c>
    </row>
    <row r="179" spans="1:10">
      <c r="A179" s="57">
        <v>3</v>
      </c>
      <c r="B179" s="57">
        <f t="shared" ca="1" si="18"/>
        <v>1500</v>
      </c>
      <c r="C179" s="59">
        <f t="shared" ca="1" si="19"/>
        <v>2350</v>
      </c>
    </row>
    <row r="180" spans="1:10">
      <c r="A180" s="57">
        <v>4</v>
      </c>
      <c r="B180" s="57">
        <f t="shared" ca="1" si="18"/>
        <v>1000</v>
      </c>
      <c r="C180" s="59">
        <f t="shared" ca="1" si="19"/>
        <v>1550</v>
      </c>
    </row>
    <row r="181" spans="1:10">
      <c r="A181" s="57">
        <v>5</v>
      </c>
      <c r="B181" s="57">
        <f t="shared" ca="1" si="18"/>
        <v>1000</v>
      </c>
      <c r="C181" s="59">
        <f t="shared" ca="1" si="19"/>
        <v>1550</v>
      </c>
    </row>
    <row r="182" spans="1:10">
      <c r="A182" s="57">
        <v>6</v>
      </c>
      <c r="B182" s="57">
        <f ca="1">RANDBETWEEN(1,3)*500</f>
        <v>1500</v>
      </c>
      <c r="C182" s="59">
        <f t="shared" ca="1" si="19"/>
        <v>2350</v>
      </c>
    </row>
    <row r="183" spans="1:10">
      <c r="A183" s="57">
        <v>7</v>
      </c>
      <c r="B183" s="57">
        <f t="shared" ca="1" si="18"/>
        <v>1500</v>
      </c>
      <c r="C183" s="59">
        <f t="shared" ca="1" si="19"/>
        <v>2350</v>
      </c>
    </row>
    <row r="184" spans="1:10">
      <c r="A184" s="57">
        <v>8</v>
      </c>
      <c r="B184" s="57">
        <f t="shared" ca="1" si="18"/>
        <v>500</v>
      </c>
      <c r="C184" s="59">
        <f t="shared" ca="1" si="19"/>
        <v>750</v>
      </c>
    </row>
    <row r="185" spans="1:10">
      <c r="A185" s="57">
        <v>9</v>
      </c>
      <c r="B185" s="57">
        <f t="shared" ca="1" si="18"/>
        <v>1500</v>
      </c>
      <c r="C185" s="59">
        <f t="shared" ca="1" si="19"/>
        <v>2350</v>
      </c>
    </row>
    <row r="186" spans="1:10">
      <c r="A186" s="57">
        <v>10</v>
      </c>
      <c r="B186" s="57">
        <f t="shared" ca="1" si="18"/>
        <v>1000</v>
      </c>
      <c r="C186" s="59">
        <f t="shared" ca="1" si="19"/>
        <v>1550</v>
      </c>
    </row>
    <row r="188" spans="1:10">
      <c r="A188" s="46" t="s">
        <v>128</v>
      </c>
      <c r="B188" s="46"/>
      <c r="C188" s="46"/>
      <c r="D188" s="46"/>
      <c r="E188" s="46"/>
      <c r="F188" s="46"/>
      <c r="G188" s="46"/>
      <c r="H188" s="46"/>
      <c r="I188" s="46"/>
      <c r="J188" s="46"/>
    </row>
    <row r="189" spans="1:10">
      <c r="A189" s="46"/>
      <c r="B189" s="46"/>
      <c r="C189" s="46"/>
      <c r="D189" s="46"/>
      <c r="E189" s="46"/>
      <c r="F189" s="46"/>
      <c r="G189" s="46"/>
      <c r="H189" s="46"/>
      <c r="I189" s="46"/>
      <c r="J189" s="46"/>
    </row>
    <row r="190" spans="1:10">
      <c r="A190" s="46"/>
      <c r="B190" s="46"/>
      <c r="C190" s="46"/>
      <c r="D190" s="46"/>
      <c r="E190" s="46"/>
      <c r="F190" s="46"/>
      <c r="G190" s="46"/>
      <c r="H190" s="46"/>
      <c r="I190" s="46"/>
      <c r="J190" s="46"/>
    </row>
    <row r="191" spans="1:10">
      <c r="A191" s="46"/>
      <c r="B191" s="46"/>
      <c r="C191" s="46"/>
      <c r="D191" s="46"/>
      <c r="E191" s="46"/>
      <c r="F191" s="46"/>
      <c r="G191" s="46"/>
      <c r="H191" s="46"/>
      <c r="I191" s="46"/>
      <c r="J191" s="46"/>
    </row>
    <row r="192" spans="1:10">
      <c r="A192" s="46"/>
      <c r="B192" s="46"/>
      <c r="C192" s="46"/>
      <c r="D192" s="46"/>
      <c r="E192" s="46"/>
      <c r="F192" s="46"/>
      <c r="G192" s="46"/>
      <c r="H192" s="46"/>
      <c r="I192" s="46"/>
      <c r="J192" s="46"/>
    </row>
    <row r="193" spans="1:10">
      <c r="A193" s="46"/>
      <c r="B193" s="46"/>
      <c r="C193" s="46"/>
      <c r="D193" s="46"/>
      <c r="E193" s="46"/>
      <c r="F193" s="46"/>
      <c r="G193" s="46"/>
      <c r="H193" s="46"/>
      <c r="I193" s="46"/>
      <c r="J193" s="46"/>
    </row>
    <row r="194" spans="1:10" ht="15.75" thickBot="1">
      <c r="A194" s="46"/>
      <c r="B194" s="46"/>
      <c r="C194" s="46"/>
      <c r="D194" s="46"/>
      <c r="E194" s="46"/>
      <c r="F194" s="46"/>
      <c r="G194" s="46"/>
      <c r="H194" s="46"/>
      <c r="I194" s="46"/>
      <c r="J194" s="46"/>
    </row>
    <row r="195" spans="1:10" ht="15.75" thickBot="1">
      <c r="A195" s="60" t="s">
        <v>130</v>
      </c>
      <c r="B195" s="61" t="s">
        <v>131</v>
      </c>
      <c r="C195" s="62" t="s">
        <v>132</v>
      </c>
    </row>
    <row r="196" spans="1:10">
      <c r="A196" s="58">
        <v>1</v>
      </c>
      <c r="B196" s="58">
        <f ca="1">RANDBETWEEN(300,2000)</f>
        <v>1129</v>
      </c>
      <c r="C196" s="59">
        <f ca="1">B196*1.5+IF(B196&lt;=500,0,IF(B196&lt;1000,50,IF(B196&lt;1500,150,200)))</f>
        <v>1843.5</v>
      </c>
    </row>
    <row r="197" spans="1:10">
      <c r="A197" s="57">
        <v>2</v>
      </c>
      <c r="B197" s="58">
        <f t="shared" ref="B197:B205" ca="1" si="20">RANDBETWEEN(300,2000)</f>
        <v>703</v>
      </c>
      <c r="C197" s="59">
        <f t="shared" ref="C197:C205" ca="1" si="21">B197*1.5+IF(B197&lt;=500,0,IF(B197&lt;1000,50,IF(B197&lt;1500,150,200)))</f>
        <v>1104.5</v>
      </c>
    </row>
    <row r="198" spans="1:10">
      <c r="A198" s="57">
        <v>3</v>
      </c>
      <c r="B198" s="58">
        <f t="shared" ca="1" si="20"/>
        <v>1326</v>
      </c>
      <c r="C198" s="59">
        <f t="shared" ca="1" si="21"/>
        <v>2139</v>
      </c>
    </row>
    <row r="199" spans="1:10">
      <c r="A199" s="57">
        <v>4</v>
      </c>
      <c r="B199" s="58">
        <f t="shared" ca="1" si="20"/>
        <v>782</v>
      </c>
      <c r="C199" s="59">
        <f t="shared" ca="1" si="21"/>
        <v>1223</v>
      </c>
    </row>
    <row r="200" spans="1:10">
      <c r="A200" s="57">
        <v>5</v>
      </c>
      <c r="B200" s="58">
        <f t="shared" ca="1" si="20"/>
        <v>1641</v>
      </c>
      <c r="C200" s="59">
        <f ca="1">B200*1.5+IF(B200&lt;=500,0,IF(B200&lt;1000,50,IF(B200&lt;1500,150,200)))</f>
        <v>2661.5</v>
      </c>
    </row>
    <row r="201" spans="1:10">
      <c r="A201" s="57">
        <v>6</v>
      </c>
      <c r="B201" s="58">
        <f t="shared" ca="1" si="20"/>
        <v>1742</v>
      </c>
      <c r="C201" s="59">
        <f ca="1">B201*1.5+IF(B201&lt;=500,0,IF(B201&lt;1000,50,IF(B201&lt;1500,150,200)))</f>
        <v>2813</v>
      </c>
    </row>
    <row r="202" spans="1:10">
      <c r="A202" s="57">
        <v>7</v>
      </c>
      <c r="B202" s="58">
        <f t="shared" ca="1" si="20"/>
        <v>371</v>
      </c>
      <c r="C202" s="59">
        <f t="shared" ca="1" si="21"/>
        <v>556.5</v>
      </c>
    </row>
    <row r="203" spans="1:10">
      <c r="A203" s="57">
        <v>8</v>
      </c>
      <c r="B203" s="58">
        <f t="shared" ca="1" si="20"/>
        <v>1018</v>
      </c>
      <c r="C203" s="59">
        <f t="shared" ca="1" si="21"/>
        <v>1677</v>
      </c>
    </row>
    <row r="204" spans="1:10">
      <c r="A204" s="57">
        <v>9</v>
      </c>
      <c r="B204" s="58">
        <f t="shared" ca="1" si="20"/>
        <v>302</v>
      </c>
      <c r="C204" s="59">
        <f t="shared" ca="1" si="21"/>
        <v>453</v>
      </c>
    </row>
    <row r="205" spans="1:10">
      <c r="A205" s="57">
        <v>10</v>
      </c>
      <c r="B205" s="58">
        <f t="shared" ca="1" si="20"/>
        <v>342</v>
      </c>
      <c r="C205" s="59">
        <f t="shared" ca="1" si="21"/>
        <v>513</v>
      </c>
    </row>
  </sheetData>
  <mergeCells count="12">
    <mergeCell ref="J156:J158"/>
    <mergeCell ref="A97:B97"/>
    <mergeCell ref="A130:B130"/>
    <mergeCell ref="A155:A158"/>
    <mergeCell ref="B155:B158"/>
    <mergeCell ref="C155:C158"/>
    <mergeCell ref="D155:D158"/>
    <mergeCell ref="E156:E158"/>
    <mergeCell ref="F156:F158"/>
    <mergeCell ref="G156:G158"/>
    <mergeCell ref="H156:H158"/>
    <mergeCell ref="I156:I15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Zadania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Pekalski</dc:creator>
  <cp:lastModifiedBy>Krzysztof Dudek</cp:lastModifiedBy>
  <dcterms:created xsi:type="dcterms:W3CDTF">2020-10-26T16:52:59Z</dcterms:created>
  <dcterms:modified xsi:type="dcterms:W3CDTF">2023-07-20T13:18:04Z</dcterms:modified>
</cp:coreProperties>
</file>